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Revenue" sheetId="3" state="visible" r:id="rId5"/>
    <sheet name="Costs" sheetId="4" state="visible" r:id="rId6"/>
    <sheet name="P&amp;L" sheetId="5" state="visible" r:id="rId7"/>
    <sheet name="Unit Economics" sheetId="6" state="visible" r:id="rId8"/>
    <sheet name="KPI Dashboard" sheetId="7" state="visible" r:id="rId9"/>
    <sheet name="Sensitiv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<sst xmlns="http://schemas.openxmlformats.org/spreadsheetml/2006/main" count="345" uniqueCount="252">
  <si>
    <t xml:space="preserve">Signal Array — Financial Model</t>
  </si>
  <si>
    <t xml:space="preserve">Three-year monthly projections · base / conservative / optimistic / downside scenarios</t>
  </si>
  <si>
    <t xml:space="preserve">About this model</t>
  </si>
  <si>
    <t xml:space="preserve">This workbook models Signal Array's commercial trajectory from May 2026 through April 2029 (Y1 = FY27, Y2 = FY28, Y3 = FY29).</t>
  </si>
  <si>
    <t xml:space="preserve">Inputs live in the Assumptions sheet (blue cells). Change them to flex scenarios.</t>
  </si>
  <si>
    <t xml:space="preserve">Color conventions (industry standard):</t>
  </si>
  <si>
    <t xml:space="preserve">   BLUE text = hardcoded inputs you can change</t>
  </si>
  <si>
    <t xml:space="preserve">   BLACK text = formulas</t>
  </si>
  <si>
    <t xml:space="preserve">   GREEN text = cross-sheet links</t>
  </si>
  <si>
    <t xml:space="preserve">   YELLOW background = key assumptions warranting attention</t>
  </si>
  <si>
    <t xml:space="preserve">Sheets:</t>
  </si>
  <si>
    <t xml:space="preserve">   1. README — this overview</t>
  </si>
  <si>
    <t xml:space="preserve">   2. Assumptions — all hardcoded inputs (pricing, conversion, costs, etc.)</t>
  </si>
  <si>
    <t xml:space="preserve">   3. Revenue — monthly customer count and recognized revenue</t>
  </si>
  <si>
    <t xml:space="preserve">   4. Costs — monthly cost breakdown</t>
  </si>
  <si>
    <t xml:space="preserve">   5. P&amp;L — monthly profit &amp; loss, cash position, gross margin</t>
  </si>
  <si>
    <t xml:space="preserve">   6. Unit Economics — per-customer LTV/CAC, payback, gross margin</t>
  </si>
  <si>
    <t xml:space="preserve">   7. KPI Dashboard — headline metrics summary</t>
  </si>
  <si>
    <t xml:space="preserve">   8. Sensitivity — what-if analysis on LLM costs and customer count</t>
  </si>
  <si>
    <t xml:space="preserve">Scenario toggle: change cell B61 in the Assumptions sheet (1=base, 2=conservative, 3=optimistic, 4=downside).</t>
  </si>
  <si>
    <t xml:space="preserve">Companion document: Signal Array — Business Plan.md (in the same /assets folder)</t>
  </si>
  <si>
    <t xml:space="preserve">Signal Array — Key Assumptions</t>
  </si>
  <si>
    <t xml:space="preserve">PRICING (base case)</t>
  </si>
  <si>
    <t xml:space="preserve">Moloco engagement (Year 1, annualized)</t>
  </si>
  <si>
    <t xml:space="preserve">Existing design-contract terms; assumed extension</t>
  </si>
  <si>
    <t xml:space="preserve">Moloco engagement (Year 2)</t>
  </si>
  <si>
    <t xml:space="preserve">Extension assumption — refines based on Phase 3 outcome</t>
  </si>
  <si>
    <t xml:space="preserve">Moloco engagement (Year 3)</t>
  </si>
  <si>
    <t xml:space="preserve">Expanded scope assumption</t>
  </si>
  <si>
    <t xml:space="preserve">Pilot Pack — one-time fee</t>
  </si>
  <si>
    <t xml:space="preserve">Custom vertical pack + 1 calibration case study</t>
  </si>
  <si>
    <t xml:space="preserve">Pilot Pack — annual hosted access (Y1)</t>
  </si>
  <si>
    <t xml:space="preserve">First year hosted access</t>
  </si>
  <si>
    <t xml:space="preserve">Pilot Pack — renewal (Y2+)</t>
  </si>
  <si>
    <t xml:space="preserve">Bumps up after value demonstrated</t>
  </si>
  <si>
    <t xml:space="preserve">Platform tier — annual license</t>
  </si>
  <si>
    <t xml:space="preserve">All-pack access + white-glove pack authoring</t>
  </si>
  <si>
    <t xml:space="preserve">Platform tier — pack authoring (one-time, per pack)</t>
  </si>
  <si>
    <t xml:space="preserve">Custom pack content for the customer</t>
  </si>
  <si>
    <t xml:space="preserve">Enterprise tier — annual ACV (estimated)</t>
  </si>
  <si>
    <t xml:space="preserve">Custom; assume mid-range for projections</t>
  </si>
  <si>
    <t xml:space="preserve">Creative Portfolios public demo</t>
  </si>
  <si>
    <t xml:space="preserve">Free; top-of-funnel acquisition channel</t>
  </si>
  <si>
    <t xml:space="preserve">CUSTOMER ACQUISITION (base case)</t>
  </si>
  <si>
    <t xml:space="preserve">New Pilot Pack customers — Year 1</t>
  </si>
  <si>
    <t xml:space="preserve">Beyond Moloco; 2 new in Y1</t>
  </si>
  <si>
    <t xml:space="preserve">New Pilot Pack customers — Year 2</t>
  </si>
  <si>
    <t xml:space="preserve">Four new Pilot Packs across Y2</t>
  </si>
  <si>
    <t xml:space="preserve">New Pilot Pack customers — Year 3</t>
  </si>
  <si>
    <t xml:space="preserve">Steady inflow at Pilot tier</t>
  </si>
  <si>
    <t xml:space="preserve">Pilot-to-Platform conversion rate</t>
  </si>
  <si>
    <t xml:space="preserve">Half of Pilot customers upgrade to Platform after 12 months</t>
  </si>
  <si>
    <t xml:space="preserve">New Platform customers — Year 2</t>
  </si>
  <si>
    <t xml:space="preserve">Initial Platform signups in Y2</t>
  </si>
  <si>
    <t xml:space="preserve">New Platform customers — Year 3</t>
  </si>
  <si>
    <t xml:space="preserve">Direct + upgrades</t>
  </si>
  <si>
    <t xml:space="preserve">New Enterprise customers — Year 3</t>
  </si>
  <si>
    <t xml:space="preserve">Begin in Y3 once SOC 2 evidence is available</t>
  </si>
  <si>
    <t xml:space="preserve">Average sales cycle (months) — Pilot</t>
  </si>
  <si>
    <t xml:space="preserve">Inbound + warm intro; short cycle</t>
  </si>
  <si>
    <t xml:space="preserve">Average sales cycle (months) — Platform</t>
  </si>
  <si>
    <t xml:space="preserve">Procurement + legal review</t>
  </si>
  <si>
    <t xml:space="preserve">Average sales cycle (months) — Enterprise</t>
  </si>
  <si>
    <t xml:space="preserve">Compliance review, multi-stakeholder</t>
  </si>
  <si>
    <t xml:space="preserve">Annual customer churn rate</t>
  </si>
  <si>
    <t xml:space="preserve">Conservative; calibration-trust moat lowers churn</t>
  </si>
  <si>
    <t xml:space="preserve">COST PARAMETERS</t>
  </si>
  <si>
    <t xml:space="preserve">LLM cost per cohort run (avg)</t>
  </si>
  <si>
    <t xml:space="preserve">Claude Opus + Sonnet mix; ~$5-15 range</t>
  </si>
  <si>
    <t xml:space="preserve">Cohort runs per customer per month (avg)</t>
  </si>
  <si>
    <t xml:space="preserve">Scales with customer engagement</t>
  </si>
  <si>
    <t xml:space="preserve">Hosting cost per customer per month</t>
  </si>
  <si>
    <t xml:space="preserve">Vercel + Neon + R2 + Inngest</t>
  </si>
  <si>
    <t xml:space="preserve">Tooling cost monthly (fixed)</t>
  </si>
  <si>
    <t xml:space="preserve">Stripe, Clerk, Sentry, PostHog, Resend</t>
  </si>
  <si>
    <t xml:space="preserve">Legal — Year 1</t>
  </si>
  <si>
    <t xml:space="preserve">Entity, contracts, trademark filing</t>
  </si>
  <si>
    <t xml:space="preserve">Legal — Year 2</t>
  </si>
  <si>
    <t xml:space="preserve">Customer contracts, SOC 2 prep</t>
  </si>
  <si>
    <t xml:space="preserve">Legal — Year 3</t>
  </si>
  <si>
    <t xml:space="preserve">Scale-up</t>
  </si>
  <si>
    <t xml:space="preserve">Accounting/tax annual</t>
  </si>
  <si>
    <t xml:space="preserve">Bookkeeping + tax prep</t>
  </si>
  <si>
    <t xml:space="preserve">Marketing — Year 1</t>
  </si>
  <si>
    <t xml:space="preserve">Conference travel; minimal</t>
  </si>
  <si>
    <t xml:space="preserve">Marketing — Year 2</t>
  </si>
  <si>
    <t xml:space="preserve">Content production + paid acquisition tests</t>
  </si>
  <si>
    <t xml:space="preserve">Marketing — Year 3</t>
  </si>
  <si>
    <t xml:space="preserve">Full GTM motion</t>
  </si>
  <si>
    <t xml:space="preserve">Engineer contractor monthly (Y2 start)</t>
  </si>
  <si>
    <t xml:space="preserve">Part-time; ~10-20 hrs/week loaded</t>
  </si>
  <si>
    <t xml:space="preserve">Curator contractor monthly (Y2 start)</t>
  </si>
  <si>
    <t xml:space="preserve">Part-time persona/research curator</t>
  </si>
  <si>
    <t xml:space="preserve">FTE engineer loaded monthly (Y3)</t>
  </si>
  <si>
    <t xml:space="preserve">Full-time loaded cost</t>
  </si>
  <si>
    <t xml:space="preserve">FTE pack-authoring lead loaded monthly (Y3)</t>
  </si>
  <si>
    <t xml:space="preserve">FTE customer-success loaded monthly (Y3)</t>
  </si>
  <si>
    <t xml:space="preserve">Shalom comp Y1 (allocated from Signal Array)</t>
  </si>
  <si>
    <t xml:space="preserve">Opportunity cost: hours not on other contracts</t>
  </si>
  <si>
    <t xml:space="preserve">Shalom comp Y2</t>
  </si>
  <si>
    <t xml:space="preserve">Half-time-equivalent compensation from Signal Array</t>
  </si>
  <si>
    <t xml:space="preserve">Shalom comp Y3</t>
  </si>
  <si>
    <t xml:space="preserve">Full-time-equivalent founder compensation</t>
  </si>
  <si>
    <t xml:space="preserve">SCENARIO MULTIPLIERS</t>
  </si>
  <si>
    <t xml:space="preserve">Active scenario (1=base, 2=conservative, 3=optimistic, 4=downside)</t>
  </si>
  <si>
    <t xml:space="preserve">Change this single cell to flex the entire model</t>
  </si>
  <si>
    <t xml:space="preserve">Scenario</t>
  </si>
  <si>
    <t xml:space="preserve">Revenue mult</t>
  </si>
  <si>
    <t xml:space="preserve">Cust mult</t>
  </si>
  <si>
    <t xml:space="preserve">Cost mult</t>
  </si>
  <si>
    <t xml:space="preserve">Base</t>
  </si>
  <si>
    <t xml:space="preserve">Conservative</t>
  </si>
  <si>
    <t xml:space="preserve">Optimistic</t>
  </si>
  <si>
    <t xml:space="preserve">Downside</t>
  </si>
  <si>
    <t xml:space="preserve">Active revenue multiplier</t>
  </si>
  <si>
    <t xml:space="preserve">Active customer multiplier</t>
  </si>
  <si>
    <t xml:space="preserve">Active cost multiplier</t>
  </si>
  <si>
    <t xml:space="preserve">Signal Array — Revenue Projection</t>
  </si>
  <si>
    <t xml:space="preserve">Year 1 (May26-Apr27)</t>
  </si>
  <si>
    <t xml:space="preserve">Year 2 (May27-Apr28)</t>
  </si>
  <si>
    <t xml:space="preserve">Year 3 (May28-Apr29)</t>
  </si>
  <si>
    <t xml:space="preserve">Y1 Total</t>
  </si>
  <si>
    <t xml:space="preserve">Y2 Total</t>
  </si>
  <si>
    <t xml:space="preserve">Y3 Total</t>
  </si>
  <si>
    <t xml:space="preserve">3Y Total</t>
  </si>
  <si>
    <t xml:space="preserve">Month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</si>
  <si>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</si>
  <si>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</si>
  <si>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</si>
  <si>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</si>
  <si>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</si>
  <si>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</si>
  <si>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</si>
  <si>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</si>
  <si>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</si>
  <si>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</si>
  <si>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</si>
  <si>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</si>
  <si>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</si>
  <si>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</si>
  <si>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</si>
  <si>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</si>
  <si>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</si>
  <si>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</si>
  <si>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</si>
  <si>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</si>
  <si>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</si>
  <si>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</si>
  <si>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</si>
  <si>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</si>
  <si>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</si>
  <si>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</si>
  <si>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</si>
  <si>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</si>
  <si>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</si>
  <si>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</si>
  <si>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</si>
  <si>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</si>
  <si>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Jan-29</t>
  </si>
  <si>
    <t xml:space="preserve">Feb-29</t>
  </si>
  <si>
    <t xml:space="preserve">Mar-29</t>
  </si>
  <si>
    <t xml:space="preserve">Apr-29</t>
  </si>
  <si>
    <t xml:space="preserve">CUSTOMER COUNTS (active, end of month)</t>
  </si>
  <si>
    <t xml:space="preserve">Moloco (lighthouse customer)</t>
  </si>
  <si>
    <t xml:space="preserve">Pilot Pack customers</t>
  </si>
  <si>
    <t xml:space="preserve">Platform tier customers</t>
  </si>
  <si>
    <t xml:space="preserve">Enterprise customers</t>
  </si>
  <si>
    <t xml:space="preserve">Total active customers</t>
  </si>
  <si>
    <t xml:space="preserve">MONTHLY REVENUE BY LINE ITEM ($)</t>
  </si>
  <si>
    <t xml:space="preserve">Moloco engagement</t>
  </si>
  <si>
    <t xml:space="preserve">Pilot Pack — one-time fees</t>
  </si>
  <si>
    <t xml:space="preserve">Pilot Pack — recurring hosting</t>
  </si>
  <si>
    <t xml:space="preserve">Platform tier — license (recurring)</t>
  </si>
  <si>
    <t xml:space="preserve">Platform tier — pack authoring (one-time)</t>
  </si>
  <si>
    <t xml:space="preserve">Enterprise tier — annual ACV (recurring)</t>
  </si>
  <si>
    <t xml:space="preserve">TOTAL MONTHLY REVENUE</t>
  </si>
  <si>
    <t xml:space="preserve">Signal Array — Cost Projection</t>
  </si>
  <si>
    <t xml:space="preserve">VARIABLE COSTS (scale with customer count)</t>
  </si>
  <si>
    <t xml:space="preserve">LLM API costs (Claude)</t>
  </si>
  <si>
    <t xml:space="preserve">Hosting (Vercel + Neon + R2 + Inngest)</t>
  </si>
  <si>
    <t xml:space="preserve">FIXED COSTS</t>
  </si>
  <si>
    <t xml:space="preserve">Tooling (Stripe, Clerk, Sentry, etc.)</t>
  </si>
  <si>
    <t xml:space="preserve">Legal</t>
  </si>
  <si>
    <t xml:space="preserve">Accounting/tax</t>
  </si>
  <si>
    <t xml:space="preserve">Marketing</t>
  </si>
  <si>
    <t xml:space="preserve">PEOPLE COSTS</t>
  </si>
  <si>
    <t xml:space="preserve">Engineer contractor (Y2+)</t>
  </si>
  <si>
    <t xml:space="preserve">Curator contractor (Y2+)</t>
  </si>
  <si>
    <t xml:space="preserve">FTE engineer (Y3)</t>
  </si>
  <si>
    <t xml:space="preserve">FTE pack-authoring lead (Y3)</t>
  </si>
  <si>
    <t xml:space="preserve">FTE customer success (Y3)</t>
  </si>
  <si>
    <t xml:space="preserve">Shalom compensation (allocated)</t>
  </si>
  <si>
    <t xml:space="preserve">TOTAL MONTHLY COSTS</t>
  </si>
  <si>
    <t xml:space="preserve">Signal Array — Monthly P&amp;L and Cash Position</t>
  </si>
  <si>
    <t xml:space="preserve">Revenue</t>
  </si>
  <si>
    <t xml:space="preserve">Total costs</t>
  </si>
  <si>
    <t xml:space="preserve">Net contribution</t>
  </si>
  <si>
    <t xml:space="preserve">Cumulative net cash position</t>
  </si>
  <si>
    <t xml:space="preserve">Variable cost (LLM + hosting)</t>
  </si>
  <si>
    <t xml:space="preserve">Gross margin %</t>
  </si>
  <si>
    <t xml:space="preserve">Signal Array — Unit Economics by Tier</t>
  </si>
  <si>
    <t xml:space="preserve">Metric</t>
  </si>
  <si>
    <t xml:space="preserve">Pilot Pack</t>
  </si>
  <si>
    <t xml:space="preserve">Platform Tier</t>
  </si>
  <si>
    <t xml:space="preserve">Enterprise</t>
  </si>
  <si>
    <t xml:space="preserve">Annual contract value (ACV) Y1</t>
  </si>
  <si>
    <t xml:space="preserve">Annual contract value (ACV) Y2+</t>
  </si>
  <si>
    <t xml:space="preserve">LLM cost/customer/year</t>
  </si>
  <si>
    <t xml:space="preserve">Hosting cost/customer/year</t>
  </si>
  <si>
    <t xml:space="preserve">Variable cost of delivery (total)</t>
  </si>
  <si>
    <t xml:space="preserve">Gross margin Y2+</t>
  </si>
  <si>
    <t xml:space="preserve">Estimated CAC (Y2 base)</t>
  </si>
  <si>
    <t xml:space="preserve">Payback period (months)</t>
  </si>
  <si>
    <t xml:space="preserve">Estimated retention (years)</t>
  </si>
  <si>
    <t xml:space="preserve">LTV (ACV × retention × gross margin)</t>
  </si>
  <si>
    <t xml:space="preserve">LTV / CAC ratio</t>
  </si>
  <si>
    <t xml:space="preserve">Notes</t>
  </si>
  <si>
    <t xml:space="preserve">• Pilot Pack Y1 ACV includes both the one-time pack-authoring fee and the first year of hosting.</t>
  </si>
  <si>
    <t xml:space="preserve">• Platform Y1 ACV includes both license and pack-authoring; Y2+ shows recurring license only.</t>
  </si>
  <si>
    <t xml:space="preserve">• Variable cost scales with cohort runs; Platform assumes 2x usage of Pilot; Enterprise 4x.</t>
  </si>
  <si>
    <t xml:space="preserve">• CAC includes attributed marketing + sales time. Pilot CAC is lower (warm intros, content-driven).</t>
  </si>
  <si>
    <t xml:space="preserve">• Retention assumes the calibration discipline holds; downside scenario cuts retention by ~40%.</t>
  </si>
  <si>
    <t xml:space="preserve">• LTV/CAC &gt; 3x is healthy SaaS; Signal Array shows multiples of that across tiers in the base case.</t>
  </si>
  <si>
    <t xml:space="preserve">Signal Array — Headline KPI Dashboard</t>
  </si>
  <si>
    <t xml:space="preserve">Reflects active scenario (see Assumptions sheet)</t>
  </si>
  <si>
    <t xml:space="preserve">Year 1</t>
  </si>
  <si>
    <t xml:space="preserve">Year 2</t>
  </si>
  <si>
    <t xml:space="preserve">Year 3</t>
  </si>
  <si>
    <t xml:space="preserve">3Y Total/Avg</t>
  </si>
  <si>
    <t xml:space="preserve">Revenue (recognized)</t>
  </si>
  <si>
    <t xml:space="preserve">Net margin %</t>
  </si>
  <si>
    <t xml:space="preserve">Customers (end of year)</t>
  </si>
  <si>
    <t xml:space="preserve">Variable costs (LLM + hosting)</t>
  </si>
  <si>
    <t xml:space="preserve">Marketing spend</t>
  </si>
  <si>
    <t xml:space="preserve">People costs total</t>
  </si>
  <si>
    <t xml:space="preserve">Avg gross margin %</t>
  </si>
  <si>
    <t xml:space="preserve">Cumulative cash (EOY)</t>
  </si>
  <si>
    <t xml:space="preserve">Read this scenario</t>
  </si>
  <si>
    <t xml:space="preserve">• Base case (Assumptions B61 = 1): Moloco lighthouse + steady pack acquisition. Healthy gross margins. Year 1 sustains operation; Year 2 funds first contractor; Year 3 supports small team.</t>
  </si>
  <si>
    <t xml:space="preserve">• Conservative case (set to 2): -33% revenue, slightly lower costs. Year 3 still positive; growth tempo slower.</t>
  </si>
  <si>
    <t xml:space="preserve">• Optimistic case (set to 3): +30% revenue with slightly higher costs. Year 3 ARR ~$2.5M; raise-vs-bootstrap decision is real.</t>
  </si>
  <si>
    <t xml:space="preserve">• Downside case (set to 4): -70% revenue; Moloco scaled back. Pivot to boutique consultancy posture; artifacts (paper, free demo) are career-grade outputs.</t>
  </si>
  <si>
    <t xml:space="preserve">Signal Array — Sensitivity Analysis</t>
  </si>
  <si>
    <t xml:space="preserve">Year 2 Net Contribution by LLM cost / customer count combinations (base scenario)</t>
  </si>
  <si>
    <t xml:space="preserve">LLM cost per run →</t>
  </si>
  <si>
    <t xml:space="preserve">Reading the table</t>
  </si>
  <si>
    <t xml:space="preserve">• Green = healthy Y2 net contribution; Red = problematic Y2 economics.</t>
  </si>
  <si>
    <t xml:space="preserve">• At base case (Y2 = 7 customers, $10/run LLM cost), Y2 net contribution is robust.</t>
  </si>
  <si>
    <t xml:space="preserve">• Sensitivity to LLM cost is real but bounded — even at $20/run, model holds at 9+ customers.</t>
  </si>
  <si>
    <t xml:space="preserve">• Sensitivity to customer count is the dominant risk — below 5 paying customers in Y2, model gets tight.</t>
  </si>
  <si>
    <t xml:space="preserve">• Mitigations: Claude prompt caching can reduce per-run cost 30–50%.</t>
  </si>
  <si>
    <t xml:space="preserve">• Mitigations: Creative Portfolios public demo drives Pilot inbound and reduces CAC pressure.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</si>
</sst>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0.00"/>
    <numFmt numFmtId="169" formatCode="0.0"/>
    <numFmt numFmtId="170" formatCode="0.0\x"/>
    <numFmt numFmtId="171" formatCode="\$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0066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23.2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/>
    </row>
    <row r="9" customFormat="false" ht="15" hidden="false" customHeight="true" outlineLevel="0" collapsed="false">
      <c r="B9" s="5" t="s">
        <v>5</v>
      </c>
    </row>
    <row r="10" customFormat="false" ht="15" hidden="false" customHeight="true" outlineLevel="0" collapsed="false">
      <c r="B10" s="5" t="s">
        <v>6</v>
      </c>
    </row>
    <row r="11" customFormat="false" ht="15" hidden="false" customHeight="true" outlineLevel="0" collapsed="false">
      <c r="B11" s="5" t="s">
        <v>7</v>
      </c>
    </row>
    <row r="12" customFormat="false" ht="15" hidden="false" customHeight="true" outlineLevel="0" collapsed="false">
      <c r="B12" s="5" t="s">
        <v>8</v>
      </c>
    </row>
    <row r="13" customFormat="false" ht="15" hidden="false" customHeight="true" outlineLevel="0" collapsed="false">
      <c r="B13" s="5" t="s">
        <v>9</v>
      </c>
    </row>
    <row r="14" customFormat="false" ht="15" hidden="false" customHeight="true" outlineLevel="0" collapsed="false">
      <c r="B14" s="5"/>
    </row>
    <row r="15" customFormat="false" ht="15" hidden="false" customHeight="true" outlineLevel="0" collapsed="false">
      <c r="B15" s="5" t="s">
        <v>10</v>
      </c>
    </row>
    <row r="16" customFormat="false" ht="15" hidden="false" customHeight="true" outlineLevel="0" collapsed="false">
      <c r="B16" s="5" t="s">
        <v>11</v>
      </c>
    </row>
    <row r="17" customFormat="false" ht="15" hidden="false" customHeight="true" outlineLevel="0" collapsed="false">
      <c r="B17" s="5" t="s">
        <v>12</v>
      </c>
    </row>
    <row r="18" customFormat="false" ht="1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5" t="s">
        <v>14</v>
      </c>
    </row>
    <row r="20" customFormat="false" ht="15" hidden="false" customHeight="true" outlineLevel="0" collapsed="false">
      <c r="B20" s="5" t="s">
        <v>15</v>
      </c>
    </row>
    <row r="21" customFormat="false" ht="15" hidden="false" customHeight="true" outlineLevel="0" collapsed="false">
      <c r="B21" s="5" t="s">
        <v>16</v>
      </c>
    </row>
    <row r="22" customFormat="false" ht="15" hidden="false" customHeight="true" outlineLevel="0" collapsed="false">
      <c r="B22" s="5" t="s">
        <v>17</v>
      </c>
    </row>
    <row r="23" customFormat="false" ht="15" hidden="false" customHeight="true" outlineLevel="0" collapsed="false">
      <c r="B23" s="5" t="s">
        <v>18</v>
      </c>
    </row>
    <row r="24" customFormat="false" ht="15" hidden="false" customHeight="true" outlineLevel="0" collapsed="false">
      <c r="B24" s="5"/>
    </row>
    <row r="25" customFormat="false" ht="15" hidden="false" customHeight="true" outlineLevel="0" collapsed="false">
      <c r="B25" s="5" t="s">
        <v>19</v>
      </c>
    </row>
    <row r="26" customFormat="false" ht="15" hidden="false" customHeight="true" outlineLevel="0" collapsed="false">
      <c r="B26" s="5"/>
    </row>
    <row r="27" customFormat="false" ht="15" hidden="false" customHeight="true" outlineLevel="0" collapsed="false">
      <c r="B27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65"/>
  </cols>
  <sheetData>
    <row r="1" customFormat="false" ht="17.25" hidden="false" customHeight="true" outlineLevel="0" collapsed="false">
      <c r="A1" s="6" t="s">
        <v>21</v>
      </c>
      <c r="B1" s="6"/>
      <c r="C1" s="6"/>
    </row>
    <row r="3" customFormat="false" ht="15" hidden="false" customHeight="true" outlineLevel="0" collapsed="false">
      <c r="A3" s="7" t="s">
        <v>22</v>
      </c>
      <c r="B3" s="7"/>
      <c r="C3" s="7"/>
    </row>
    <row r="4" customFormat="false" ht="15" hidden="false" customHeight="true" outlineLevel="0" collapsed="false">
      <c r="A4" s="8" t="s">
        <v>23</v>
      </c>
      <c r="B4" s="9" t="n">
        <v>150000</v>
      </c>
      <c r="C4" s="3" t="s">
        <v>24</v>
      </c>
    </row>
    <row r="5" customFormat="false" ht="15" hidden="false" customHeight="true" outlineLevel="0" collapsed="false">
      <c r="A5" s="8" t="s">
        <v>25</v>
      </c>
      <c r="B5" s="9" t="n">
        <v>200000</v>
      </c>
      <c r="C5" s="3" t="s">
        <v>26</v>
      </c>
    </row>
    <row r="6" customFormat="false" ht="15" hidden="false" customHeight="true" outlineLevel="0" collapsed="false">
      <c r="A6" s="8" t="s">
        <v>27</v>
      </c>
      <c r="B6" s="9" t="n">
        <v>350000</v>
      </c>
      <c r="C6" s="3" t="s">
        <v>28</v>
      </c>
    </row>
    <row r="7" customFormat="false" ht="15" hidden="false" customHeight="true" outlineLevel="0" collapsed="false">
      <c r="A7" s="8" t="s">
        <v>29</v>
      </c>
      <c r="B7" s="9" t="n">
        <v>30000</v>
      </c>
      <c r="C7" s="3" t="s">
        <v>30</v>
      </c>
    </row>
    <row r="8" customFormat="false" ht="15" hidden="false" customHeight="true" outlineLevel="0" collapsed="false">
      <c r="A8" s="8" t="s">
        <v>31</v>
      </c>
      <c r="B8" s="9" t="n">
        <v>15000</v>
      </c>
      <c r="C8" s="3" t="s">
        <v>32</v>
      </c>
    </row>
    <row r="9" customFormat="false" ht="15" hidden="false" customHeight="true" outlineLevel="0" collapsed="false">
      <c r="A9" s="8" t="s">
        <v>33</v>
      </c>
      <c r="B9" s="9" t="n">
        <v>25000</v>
      </c>
      <c r="C9" s="3" t="s">
        <v>34</v>
      </c>
    </row>
    <row r="10" customFormat="false" ht="15" hidden="false" customHeight="true" outlineLevel="0" collapsed="false">
      <c r="A10" s="8" t="s">
        <v>35</v>
      </c>
      <c r="B10" s="9" t="n">
        <v>40000</v>
      </c>
      <c r="C10" s="3" t="s">
        <v>36</v>
      </c>
    </row>
    <row r="11" customFormat="false" ht="15" hidden="false" customHeight="true" outlineLevel="0" collapsed="false">
      <c r="A11" s="8" t="s">
        <v>37</v>
      </c>
      <c r="B11" s="9" t="n">
        <v>60000</v>
      </c>
      <c r="C11" s="3" t="s">
        <v>38</v>
      </c>
    </row>
    <row r="12" customFormat="false" ht="15" hidden="false" customHeight="true" outlineLevel="0" collapsed="false">
      <c r="A12" s="8" t="s">
        <v>39</v>
      </c>
      <c r="B12" s="9" t="n">
        <v>250000</v>
      </c>
      <c r="C12" s="3" t="s">
        <v>40</v>
      </c>
    </row>
    <row r="13" customFormat="false" ht="15" hidden="false" customHeight="true" outlineLevel="0" collapsed="false">
      <c r="A13" s="8" t="s">
        <v>41</v>
      </c>
      <c r="B13" s="9" t="n">
        <v>0</v>
      </c>
      <c r="C13" s="3" t="s">
        <v>42</v>
      </c>
    </row>
    <row r="15" customFormat="false" ht="15" hidden="false" customHeight="true" outlineLevel="0" collapsed="false">
      <c r="A15" s="7" t="s">
        <v>43</v>
      </c>
      <c r="B15" s="7"/>
      <c r="C15" s="7"/>
    </row>
    <row r="16" customFormat="false" ht="15" hidden="false" customHeight="true" outlineLevel="0" collapsed="false">
      <c r="A16" s="8" t="s">
        <v>44</v>
      </c>
      <c r="B16" s="10" t="n">
        <v>2</v>
      </c>
      <c r="C16" s="3" t="s">
        <v>45</v>
      </c>
    </row>
    <row r="17" customFormat="false" ht="15" hidden="false" customHeight="true" outlineLevel="0" collapsed="false">
      <c r="A17" s="8" t="s">
        <v>46</v>
      </c>
      <c r="B17" s="10" t="n">
        <v>4</v>
      </c>
      <c r="C17" s="3" t="s">
        <v>47</v>
      </c>
    </row>
    <row r="18" customFormat="false" ht="15" hidden="false" customHeight="true" outlineLevel="0" collapsed="false">
      <c r="A18" s="8" t="s">
        <v>48</v>
      </c>
      <c r="B18" s="10" t="n">
        <v>5</v>
      </c>
      <c r="C18" s="3" t="s">
        <v>49</v>
      </c>
    </row>
    <row r="19" customFormat="false" ht="15" hidden="false" customHeight="true" outlineLevel="0" collapsed="false">
      <c r="A19" s="8" t="s">
        <v>50</v>
      </c>
      <c r="B19" s="11" t="n">
        <v>0.5</v>
      </c>
      <c r="C19" s="3" t="s">
        <v>51</v>
      </c>
    </row>
    <row r="20" customFormat="false" ht="15" hidden="false" customHeight="true" outlineLevel="0" collapsed="false">
      <c r="A20" s="8" t="s">
        <v>52</v>
      </c>
      <c r="B20" s="10" t="n">
        <v>2</v>
      </c>
      <c r="C20" s="3" t="s">
        <v>53</v>
      </c>
    </row>
    <row r="21" customFormat="false" ht="15" hidden="false" customHeight="true" outlineLevel="0" collapsed="false">
      <c r="A21" s="8" t="s">
        <v>54</v>
      </c>
      <c r="B21" s="10" t="n">
        <v>6</v>
      </c>
      <c r="C21" s="3" t="s">
        <v>55</v>
      </c>
    </row>
    <row r="22" customFormat="false" ht="15" hidden="false" customHeight="true" outlineLevel="0" collapsed="false">
      <c r="A22" s="8" t="s">
        <v>56</v>
      </c>
      <c r="B22" s="10" t="n">
        <v>2</v>
      </c>
      <c r="C22" s="3" t="s">
        <v>57</v>
      </c>
    </row>
    <row r="23" customFormat="false" ht="15" hidden="false" customHeight="true" outlineLevel="0" collapsed="false">
      <c r="A23" s="8" t="s">
        <v>58</v>
      </c>
      <c r="B23" s="10" t="n">
        <v>2</v>
      </c>
      <c r="C23" s="3" t="s">
        <v>59</v>
      </c>
    </row>
    <row r="24" customFormat="false" ht="15" hidden="false" customHeight="true" outlineLevel="0" collapsed="false">
      <c r="A24" s="8" t="s">
        <v>60</v>
      </c>
      <c r="B24" s="10" t="n">
        <v>4</v>
      </c>
      <c r="C24" s="3" t="s">
        <v>61</v>
      </c>
    </row>
    <row r="25" customFormat="false" ht="15" hidden="false" customHeight="true" outlineLevel="0" collapsed="false">
      <c r="A25" s="8" t="s">
        <v>62</v>
      </c>
      <c r="B25" s="10" t="n">
        <v>6</v>
      </c>
      <c r="C25" s="3" t="s">
        <v>63</v>
      </c>
    </row>
    <row r="26" customFormat="false" ht="15" hidden="false" customHeight="true" outlineLevel="0" collapsed="false">
      <c r="A26" s="8" t="s">
        <v>64</v>
      </c>
      <c r="B26" s="11" t="n">
        <v>0.1</v>
      </c>
      <c r="C26" s="3" t="s">
        <v>65</v>
      </c>
    </row>
    <row r="28" customFormat="false" ht="15" hidden="false" customHeight="true" outlineLevel="0" collapsed="false">
      <c r="A28" s="7" t="s">
        <v>66</v>
      </c>
      <c r="B28" s="7"/>
      <c r="C28" s="7"/>
    </row>
    <row r="29" customFormat="false" ht="15" hidden="false" customHeight="true" outlineLevel="0" collapsed="false">
      <c r="A29" s="8" t="s">
        <v>67</v>
      </c>
      <c r="B29" s="9" t="n">
        <v>10</v>
      </c>
      <c r="C29" s="3" t="s">
        <v>68</v>
      </c>
    </row>
    <row r="30" customFormat="false" ht="15" hidden="false" customHeight="true" outlineLevel="0" collapsed="false">
      <c r="A30" s="8" t="s">
        <v>69</v>
      </c>
      <c r="B30" s="9" t="n">
        <v>30</v>
      </c>
      <c r="C30" s="3" t="s">
        <v>70</v>
      </c>
    </row>
    <row r="31" customFormat="false" ht="15" hidden="false" customHeight="true" outlineLevel="0" collapsed="false">
      <c r="A31" s="8" t="s">
        <v>71</v>
      </c>
      <c r="B31" s="9" t="n">
        <v>50</v>
      </c>
      <c r="C31" s="3" t="s">
        <v>72</v>
      </c>
    </row>
    <row r="32" customFormat="false" ht="15" hidden="false" customHeight="true" outlineLevel="0" collapsed="false">
      <c r="A32" s="8" t="s">
        <v>73</v>
      </c>
      <c r="B32" s="9" t="n">
        <v>400</v>
      </c>
      <c r="C32" s="3" t="s">
        <v>74</v>
      </c>
    </row>
    <row r="33" customFormat="false" ht="15" hidden="false" customHeight="true" outlineLevel="0" collapsed="false">
      <c r="A33" s="8" t="s">
        <v>75</v>
      </c>
      <c r="B33" s="9" t="n">
        <v>15000</v>
      </c>
      <c r="C33" s="3" t="s">
        <v>76</v>
      </c>
    </row>
    <row r="34" customFormat="false" ht="15" hidden="false" customHeight="true" outlineLevel="0" collapsed="false">
      <c r="A34" s="8" t="s">
        <v>77</v>
      </c>
      <c r="B34" s="9" t="n">
        <v>25000</v>
      </c>
      <c r="C34" s="3" t="s">
        <v>78</v>
      </c>
    </row>
    <row r="35" customFormat="false" ht="15" hidden="false" customHeight="true" outlineLevel="0" collapsed="false">
      <c r="A35" s="8" t="s">
        <v>79</v>
      </c>
      <c r="B35" s="9" t="n">
        <v>40000</v>
      </c>
      <c r="C35" s="3" t="s">
        <v>80</v>
      </c>
    </row>
    <row r="36" customFormat="false" ht="15" hidden="false" customHeight="true" outlineLevel="0" collapsed="false">
      <c r="A36" s="8" t="s">
        <v>81</v>
      </c>
      <c r="B36" s="9" t="n">
        <v>6000</v>
      </c>
      <c r="C36" s="3" t="s">
        <v>82</v>
      </c>
    </row>
    <row r="37" customFormat="false" ht="15" hidden="false" customHeight="true" outlineLevel="0" collapsed="false">
      <c r="A37" s="8" t="s">
        <v>83</v>
      </c>
      <c r="B37" s="9" t="n">
        <v>5000</v>
      </c>
      <c r="C37" s="3" t="s">
        <v>84</v>
      </c>
    </row>
    <row r="38" customFormat="false" ht="15" hidden="false" customHeight="true" outlineLevel="0" collapsed="false">
      <c r="A38" s="8" t="s">
        <v>85</v>
      </c>
      <c r="B38" s="9" t="n">
        <v>30000</v>
      </c>
      <c r="C38" s="3" t="s">
        <v>86</v>
      </c>
    </row>
    <row r="39" customFormat="false" ht="15" hidden="false" customHeight="true" outlineLevel="0" collapsed="false">
      <c r="A39" s="8" t="s">
        <v>87</v>
      </c>
      <c r="B39" s="9" t="n">
        <v>150000</v>
      </c>
      <c r="C39" s="3" t="s">
        <v>88</v>
      </c>
    </row>
    <row r="40" customFormat="false" ht="15" hidden="false" customHeight="true" outlineLevel="0" collapsed="false">
      <c r="A40" s="8" t="s">
        <v>89</v>
      </c>
      <c r="B40" s="9" t="n">
        <v>8000</v>
      </c>
      <c r="C40" s="3" t="s">
        <v>90</v>
      </c>
    </row>
    <row r="41" customFormat="false" ht="15" hidden="false" customHeight="true" outlineLevel="0" collapsed="false">
      <c r="A41" s="8" t="s">
        <v>91</v>
      </c>
      <c r="B41" s="9" t="n">
        <v>4000</v>
      </c>
      <c r="C41" s="3" t="s">
        <v>92</v>
      </c>
    </row>
    <row r="42" customFormat="false" ht="15" hidden="false" customHeight="true" outlineLevel="0" collapsed="false">
      <c r="A42" s="8" t="s">
        <v>93</v>
      </c>
      <c r="B42" s="9" t="n">
        <v>12500</v>
      </c>
      <c r="C42" s="3" t="s">
        <v>94</v>
      </c>
    </row>
    <row r="43" customFormat="false" ht="15" hidden="false" customHeight="true" outlineLevel="0" collapsed="false">
      <c r="A43" s="8" t="s">
        <v>95</v>
      </c>
      <c r="B43" s="9" t="n">
        <v>10000</v>
      </c>
      <c r="C43" s="3" t="s">
        <v>94</v>
      </c>
    </row>
    <row r="44" customFormat="false" ht="15" hidden="false" customHeight="true" outlineLevel="0" collapsed="false">
      <c r="A44" s="8" t="s">
        <v>96</v>
      </c>
      <c r="B44" s="9" t="n">
        <v>8500</v>
      </c>
      <c r="C44" s="3" t="s">
        <v>94</v>
      </c>
    </row>
    <row r="45" customFormat="false" ht="15" hidden="false" customHeight="true" outlineLevel="0" collapsed="false">
      <c r="A45" s="8" t="s">
        <v>97</v>
      </c>
      <c r="B45" s="9" t="n">
        <v>35000</v>
      </c>
      <c r="C45" s="3" t="s">
        <v>98</v>
      </c>
    </row>
    <row r="46" customFormat="false" ht="15" hidden="false" customHeight="true" outlineLevel="0" collapsed="false">
      <c r="A46" s="8" t="s">
        <v>99</v>
      </c>
      <c r="B46" s="9" t="n">
        <v>100000</v>
      </c>
      <c r="C46" s="3" t="s">
        <v>100</v>
      </c>
    </row>
    <row r="47" customFormat="false" ht="15" hidden="false" customHeight="true" outlineLevel="0" collapsed="false">
      <c r="A47" s="8" t="s">
        <v>101</v>
      </c>
      <c r="B47" s="9" t="n">
        <v>200000</v>
      </c>
      <c r="C47" s="3" t="s">
        <v>102</v>
      </c>
    </row>
    <row r="49" customFormat="false" ht="15" hidden="false" customHeight="true" outlineLevel="0" collapsed="false">
      <c r="A49" s="7" t="s">
        <v>103</v>
      </c>
      <c r="B49" s="7"/>
      <c r="C49" s="7"/>
    </row>
    <row r="50" customFormat="false" ht="15" hidden="false" customHeight="true" outlineLevel="0" collapsed="false">
      <c r="A50" s="4" t="s">
        <v>104</v>
      </c>
      <c r="B50" s="10" t="n">
        <v>1</v>
      </c>
      <c r="C50" s="3" t="s">
        <v>105</v>
      </c>
    </row>
    <row r="52" customFormat="false" ht="15" hidden="false" customHeight="true" outlineLevel="0" collapsed="false">
      <c r="A52" s="12" t="s">
        <v>106</v>
      </c>
      <c r="B52" s="12" t="s">
        <v>107</v>
      </c>
      <c r="C52" s="12" t="s">
        <v>108</v>
      </c>
      <c r="D52" s="12" t="s">
        <v>109</v>
      </c>
    </row>
    <row r="53" customFormat="false" ht="15" hidden="false" customHeight="true" outlineLevel="0" collapsed="false">
      <c r="A53" s="8" t="s">
        <v>110</v>
      </c>
      <c r="B53" s="13" t="n">
        <v>1</v>
      </c>
      <c r="C53" s="13" t="n">
        <v>1</v>
      </c>
      <c r="D53" s="13" t="n">
        <v>1</v>
      </c>
    </row>
    <row r="54" customFormat="false" ht="15" hidden="false" customHeight="true" outlineLevel="0" collapsed="false">
      <c r="A54" s="8" t="s">
        <v>111</v>
      </c>
      <c r="B54" s="13" t="n">
        <v>0.67</v>
      </c>
      <c r="C54" s="13" t="n">
        <v>0.67</v>
      </c>
      <c r="D54" s="13" t="n">
        <v>0.95</v>
      </c>
    </row>
    <row r="55" customFormat="false" ht="15" hidden="false" customHeight="true" outlineLevel="0" collapsed="false">
      <c r="A55" s="8" t="s">
        <v>112</v>
      </c>
      <c r="B55" s="13" t="n">
        <v>1.3</v>
      </c>
      <c r="C55" s="13" t="n">
        <v>1.3</v>
      </c>
      <c r="D55" s="13" t="n">
        <v>1.1</v>
      </c>
    </row>
    <row r="56" customFormat="false" ht="15" hidden="false" customHeight="true" outlineLevel="0" collapsed="false">
      <c r="A56" s="8" t="s">
        <v>113</v>
      </c>
      <c r="B56" s="13" t="n">
        <v>0.3</v>
      </c>
      <c r="C56" s="13" t="n">
        <v>0.25</v>
      </c>
      <c r="D56" s="13" t="n">
        <v>0.85</v>
      </c>
    </row>
    <row r="58" customFormat="false" ht="15" hidden="false" customHeight="true" outlineLevel="0" collapsed="false">
      <c r="A58" s="4" t="s">
        <v>114</v>
      </c>
      <c r="B58" s="14" t="n">
        <f aca="false">INDEX(B53:B56,B50)</f>
        <v>1</v>
      </c>
    </row>
    <row r="59" customFormat="false" ht="15" hidden="false" customHeight="true" outlineLevel="0" collapsed="false">
      <c r="A59" s="4" t="s">
        <v>115</v>
      </c>
      <c r="B59" s="14" t="n">
        <f aca="false">INDEX(C53:C56,B50)</f>
        <v>1</v>
      </c>
    </row>
    <row r="60" customFormat="false" ht="15" hidden="false" customHeight="true" outlineLevel="0" collapsed="false">
      <c r="A60" s="4" t="s">
        <v>116</v>
      </c>
      <c r="B60" s="14" t="n">
        <f aca="false">INDEX(D53:D56,B50)</f>
        <v>1</v>
      </c>
    </row>
  </sheetData>
  <mergeCells count="5">
    <mergeCell ref="A1:C1"/>
    <mergeCell ref="A3:C3"/>
    <mergeCell ref="A15:C15"/>
    <mergeCell ref="A28:C28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1" min="2" style="1" width="11"/>
  </cols>
  <sheetData>
    <row r="1" customFormat="false" ht="17.25" hidden="false" customHeight="true" outlineLevel="0" collapsed="false">
      <c r="A1" s="2" t="s">
        <v>117</v>
      </c>
    </row>
    <row r="2" customFormat="false" ht="15" hidden="false" customHeight="true" outlineLevel="0" collapsed="false">
      <c r="B2" s="15" t="s">
        <v>118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 t="s">
        <v>119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 t="s">
        <v>120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2" t="s">
        <v>121</v>
      </c>
      <c r="AM2" s="12" t="s">
        <v>122</v>
      </c>
      <c r="AN2" s="12" t="s">
        <v>123</v>
      </c>
      <c r="AO2" s="12" t="s">
        <v>124</v>
      </c>
    </row>
    <row r="3" customFormat="false" ht="15" hidden="false" customHeight="true" outlineLevel="0" collapsed="false">
      <c r="A3" s="16" t="s">
        <v>125</v>
      </c>
      <c r="B3" s="12" t="s">
        <v>126</v>
      </c>
      <c r="C3" s="12" t="s">
        <v>127</v>
      </c>
      <c r="D3" s="12" t="s">
        <v>128</v>
      </c>
      <c r="E3" s="12" t="s">
        <v>129</v>
      </c>
      <c r="F3" s="12" t="s">
        <v>130</v>
      </c>
      <c r="G3" s="12" t="s">
        <v>131</v>
      </c>
      <c r="H3" s="12" t="s">
        <v>132</v>
      </c>
      <c r="I3" s="12" t="s">
        <v>133</v>
      </c>
      <c r="J3" s="12" t="s">
        <v>134</v>
      </c>
      <c r="K3" s="12" t="s">
        <v>135</v>
      </c>
      <c r="L3" s="12" t="s">
        <v>136</v>
      </c>
      <c r="M3" s="12" t="s">
        <v>137</v>
      </c>
      <c r="N3" s="12" t="s">
        <v>138</v>
      </c>
      <c r="O3" s="12" t="s">
        <v>139</v>
      </c>
      <c r="P3" s="12" t="s">
        <v>140</v>
      </c>
      <c r="Q3" s="12" t="s">
        <v>141</v>
      </c>
      <c r="R3" s="12" t="s">
        <v>142</v>
      </c>
      <c r="S3" s="12" t="s">
        <v>143</v>
      </c>
      <c r="T3" s="12" t="s">
        <v>144</v>
      </c>
      <c r="U3" s="12" t="s">
        <v>145</v>
      </c>
      <c r="V3" s="12" t="s">
        <v>146</v>
      </c>
      <c r="W3" s="12" t="s">
        <v>147</v>
      </c>
      <c r="X3" s="12" t="s">
        <v>148</v>
      </c>
      <c r="Y3" s="12" t="s">
        <v>149</v>
      </c>
      <c r="Z3" s="12" t="s">
        <v>150</v>
      </c>
      <c r="AA3" s="12" t="s">
        <v>151</v>
      </c>
      <c r="AB3" s="12" t="s">
        <v>152</v>
      </c>
      <c r="AC3" s="12" t="s">
        <v>153</v>
      </c>
      <c r="AD3" s="12" t="s">
        <v>154</v>
      </c>
      <c r="AE3" s="12" t="s">
        <v>155</v>
      </c>
      <c r="AF3" s="12" t="s">
        <v>156</v>
      </c>
      <c r="AG3" s="12" t="s">
        <v>157</v>
      </c>
      <c r="AH3" s="12" t="s">
        <v>158</v>
      </c>
      <c r="AI3" s="12" t="s">
        <v>159</v>
      </c>
      <c r="AJ3" s="12" t="s">
        <v>160</v>
      </c>
      <c r="AK3" s="12" t="s">
        <v>161</v>
      </c>
    </row>
    <row r="5" customFormat="false" ht="15" hidden="false" customHeight="true" outlineLevel="0" collapsed="false">
      <c r="A5" s="7" t="s">
        <v>162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customFormat="false" ht="15" hidden="false" customHeight="true" outlineLevel="0" collapsed="false">
      <c r="A6" s="8" t="s">
        <v>163</v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7" t="n">
        <v>1</v>
      </c>
      <c r="AD6" s="17" t="n">
        <v>1</v>
      </c>
      <c r="AE6" s="17" t="n">
        <v>1</v>
      </c>
      <c r="AF6" s="17" t="n">
        <v>1</v>
      </c>
      <c r="AG6" s="17" t="n">
        <v>1</v>
      </c>
      <c r="AH6" s="17" t="n">
        <v>1</v>
      </c>
      <c r="AI6" s="17" t="n">
        <v>1</v>
      </c>
      <c r="AJ6" s="17" t="n">
        <v>1</v>
      </c>
      <c r="AK6" s="17" t="n">
        <v>1</v>
      </c>
    </row>
    <row r="7" customFormat="false" ht="15" hidden="false" customHeight="true" outlineLevel="0" collapsed="false">
      <c r="A7" s="8" t="s">
        <v>164</v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2</v>
      </c>
      <c r="M7" s="18" t="n">
        <v>2</v>
      </c>
      <c r="N7" s="18" t="n">
        <v>2</v>
      </c>
      <c r="O7" s="18" t="n">
        <v>3</v>
      </c>
      <c r="P7" s="18" t="n">
        <v>3</v>
      </c>
      <c r="Q7" s="18" t="n">
        <v>3</v>
      </c>
      <c r="R7" s="18" t="n">
        <v>4</v>
      </c>
      <c r="S7" s="18" t="n">
        <v>4</v>
      </c>
      <c r="T7" s="18" t="n">
        <v>4</v>
      </c>
      <c r="U7" s="18" t="n">
        <v>5</v>
      </c>
      <c r="V7" s="18" t="n">
        <v>5</v>
      </c>
      <c r="W7" s="18" t="n">
        <v>5</v>
      </c>
      <c r="X7" s="18" t="n">
        <v>6</v>
      </c>
      <c r="Y7" s="18" t="n">
        <v>6</v>
      </c>
      <c r="Z7" s="18" t="n">
        <v>6</v>
      </c>
      <c r="AA7" s="18" t="n">
        <v>7</v>
      </c>
      <c r="AB7" s="18" t="n">
        <v>7</v>
      </c>
      <c r="AC7" s="18" t="n">
        <v>8</v>
      </c>
      <c r="AD7" s="18" t="n">
        <v>8</v>
      </c>
      <c r="AE7" s="18" t="n">
        <v>9</v>
      </c>
      <c r="AF7" s="18" t="n">
        <v>9</v>
      </c>
      <c r="AG7" s="18" t="n">
        <v>10</v>
      </c>
      <c r="AH7" s="18" t="n">
        <v>10</v>
      </c>
      <c r="AI7" s="18" t="n">
        <v>11</v>
      </c>
      <c r="AJ7" s="18" t="n">
        <v>11</v>
      </c>
      <c r="AK7" s="18" t="n">
        <v>11</v>
      </c>
    </row>
    <row r="8" customFormat="false" ht="15" hidden="false" customHeight="true" outlineLevel="0" collapsed="false">
      <c r="A8" s="8" t="s">
        <v>165</v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1</v>
      </c>
      <c r="T8" s="18" t="n">
        <v>1</v>
      </c>
      <c r="U8" s="18" t="n">
        <v>1</v>
      </c>
      <c r="V8" s="18" t="n">
        <v>1</v>
      </c>
      <c r="W8" s="18" t="n">
        <v>2</v>
      </c>
      <c r="X8" s="18" t="n">
        <v>2</v>
      </c>
      <c r="Y8" s="18" t="n">
        <v>2</v>
      </c>
      <c r="Z8" s="18" t="n">
        <v>3</v>
      </c>
      <c r="AA8" s="18" t="n">
        <v>3</v>
      </c>
      <c r="AB8" s="18" t="n">
        <v>4</v>
      </c>
      <c r="AC8" s="18" t="n">
        <v>4</v>
      </c>
      <c r="AD8" s="18" t="n">
        <v>5</v>
      </c>
      <c r="AE8" s="18" t="n">
        <v>5</v>
      </c>
      <c r="AF8" s="18" t="n">
        <v>6</v>
      </c>
      <c r="AG8" s="18" t="n">
        <v>6</v>
      </c>
      <c r="AH8" s="18" t="n">
        <v>7</v>
      </c>
      <c r="AI8" s="18" t="n">
        <v>7</v>
      </c>
      <c r="AJ8" s="18" t="n">
        <v>8</v>
      </c>
      <c r="AK8" s="18" t="n">
        <v>8</v>
      </c>
    </row>
    <row r="9" customFormat="false" ht="15" hidden="false" customHeight="true" outlineLevel="0" collapsed="false">
      <c r="A9" s="8" t="s">
        <v>166</v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1</v>
      </c>
      <c r="AD9" s="18" t="n">
        <v>1</v>
      </c>
      <c r="AE9" s="18" t="n">
        <v>1</v>
      </c>
      <c r="AF9" s="18" t="n">
        <v>1</v>
      </c>
      <c r="AG9" s="18" t="n">
        <v>1</v>
      </c>
      <c r="AH9" s="18" t="n">
        <v>1</v>
      </c>
      <c r="AI9" s="18" t="n">
        <v>2</v>
      </c>
      <c r="AJ9" s="18" t="n">
        <v>2</v>
      </c>
      <c r="AK9" s="18" t="n">
        <v>2</v>
      </c>
    </row>
    <row r="10" customFormat="false" ht="15" hidden="false" customHeight="true" outlineLevel="0" collapsed="false">
      <c r="A10" s="19" t="s">
        <v>167</v>
      </c>
      <c r="B10" s="20" t="n">
        <f aca="false">SUM(B6:B9)</f>
        <v>1</v>
      </c>
      <c r="C10" s="20" t="n">
        <f aca="false">SUM(C6:C9)</f>
        <v>1</v>
      </c>
      <c r="D10" s="20" t="n">
        <f aca="false">SUM(D6:D9)</f>
        <v>1</v>
      </c>
      <c r="E10" s="20" t="n">
        <f aca="false">SUM(E6:E9)</f>
        <v>1</v>
      </c>
      <c r="F10" s="20" t="n">
        <f aca="false">SUM(F6:F9)</f>
        <v>1</v>
      </c>
      <c r="G10" s="20" t="n">
        <f aca="false">SUM(G6:G9)</f>
        <v>2</v>
      </c>
      <c r="H10" s="20" t="n">
        <f aca="false">SUM(H6:H9)</f>
        <v>2</v>
      </c>
      <c r="I10" s="20" t="n">
        <f aca="false">SUM(I6:I9)</f>
        <v>2</v>
      </c>
      <c r="J10" s="20" t="n">
        <f aca="false">SUM(J6:J9)</f>
        <v>2</v>
      </c>
      <c r="K10" s="20" t="n">
        <f aca="false">SUM(K6:K9)</f>
        <v>2</v>
      </c>
      <c r="L10" s="20" t="n">
        <f aca="false">SUM(L6:L9)</f>
        <v>3</v>
      </c>
      <c r="M10" s="20" t="n">
        <f aca="false">SUM(M6:M9)</f>
        <v>3</v>
      </c>
      <c r="N10" s="20" t="n">
        <f aca="false">SUM(N6:N9)</f>
        <v>3</v>
      </c>
      <c r="O10" s="20" t="n">
        <f aca="false">SUM(O6:O9)</f>
        <v>4</v>
      </c>
      <c r="P10" s="20" t="n">
        <f aca="false">SUM(P6:P9)</f>
        <v>4</v>
      </c>
      <c r="Q10" s="20" t="n">
        <f aca="false">SUM(Q6:Q9)</f>
        <v>4</v>
      </c>
      <c r="R10" s="20" t="n">
        <f aca="false">SUM(R6:R9)</f>
        <v>5</v>
      </c>
      <c r="S10" s="20" t="n">
        <f aca="false">SUM(S6:S9)</f>
        <v>6</v>
      </c>
      <c r="T10" s="20" t="n">
        <f aca="false">SUM(T6:T9)</f>
        <v>6</v>
      </c>
      <c r="U10" s="20" t="n">
        <f aca="false">SUM(U6:U9)</f>
        <v>7</v>
      </c>
      <c r="V10" s="20" t="n">
        <f aca="false">SUM(V6:V9)</f>
        <v>7</v>
      </c>
      <c r="W10" s="20" t="n">
        <f aca="false">SUM(W6:W9)</f>
        <v>8</v>
      </c>
      <c r="X10" s="20" t="n">
        <f aca="false">SUM(X6:X9)</f>
        <v>9</v>
      </c>
      <c r="Y10" s="20" t="n">
        <f aca="false">SUM(Y6:Y9)</f>
        <v>9</v>
      </c>
      <c r="Z10" s="20" t="n">
        <f aca="false">SUM(Z6:Z9)</f>
        <v>10</v>
      </c>
      <c r="AA10" s="20" t="n">
        <f aca="false">SUM(AA6:AA9)</f>
        <v>11</v>
      </c>
      <c r="AB10" s="20" t="n">
        <f aca="false">SUM(AB6:AB9)</f>
        <v>12</v>
      </c>
      <c r="AC10" s="20" t="n">
        <f aca="false">SUM(AC6:AC9)</f>
        <v>14</v>
      </c>
      <c r="AD10" s="20" t="n">
        <f aca="false">SUM(AD6:AD9)</f>
        <v>15</v>
      </c>
      <c r="AE10" s="20" t="n">
        <f aca="false">SUM(AE6:AE9)</f>
        <v>16</v>
      </c>
      <c r="AF10" s="20" t="n">
        <f aca="false">SUM(AF6:AF9)</f>
        <v>17</v>
      </c>
      <c r="AG10" s="20" t="n">
        <f aca="false">SUM(AG6:AG9)</f>
        <v>18</v>
      </c>
      <c r="AH10" s="20" t="n">
        <f aca="false">SUM(AH6:AH9)</f>
        <v>19</v>
      </c>
      <c r="AI10" s="20" t="n">
        <f aca="false">SUM(AI6:AI9)</f>
        <v>21</v>
      </c>
      <c r="AJ10" s="20" t="n">
        <f aca="false">SUM(AJ6:AJ9)</f>
        <v>22</v>
      </c>
      <c r="AK10" s="20" t="n">
        <f aca="false">SUM(AK6:AK9)</f>
        <v>22</v>
      </c>
    </row>
    <row r="12" customFormat="false" ht="15" hidden="false" customHeight="true" outlineLevel="0" collapsed="false">
      <c r="A12" s="7" t="s">
        <v>168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customFormat="false" ht="15" hidden="false" customHeight="true" outlineLevel="0" collapsed="false">
      <c r="A13" s="8" t="s">
        <v>169</v>
      </c>
      <c r="B13" s="21" t="n">
        <f aca="false">Assumptions!B4/12*Assumptions!B58</f>
        <v>12500</v>
      </c>
      <c r="C13" s="21" t="n">
        <f aca="false">Assumptions!B4/12*Assumptions!B58</f>
        <v>12500</v>
      </c>
      <c r="D13" s="21" t="n">
        <f aca="false">Assumptions!B4/12*Assumptions!B58</f>
        <v>12500</v>
      </c>
      <c r="E13" s="21" t="n">
        <f aca="false">Assumptions!B4/12*Assumptions!B58</f>
        <v>12500</v>
      </c>
      <c r="F13" s="21" t="n">
        <f aca="false">Assumptions!B4/12*Assumptions!B58</f>
        <v>12500</v>
      </c>
      <c r="G13" s="21" t="n">
        <f aca="false">Assumptions!B4/12*Assumptions!B58</f>
        <v>12500</v>
      </c>
      <c r="H13" s="21" t="n">
        <f aca="false">Assumptions!B4/12*Assumptions!B58</f>
        <v>12500</v>
      </c>
      <c r="I13" s="21" t="n">
        <f aca="false">Assumptions!B4/12*Assumptions!B58</f>
        <v>12500</v>
      </c>
      <c r="J13" s="21" t="n">
        <f aca="false">Assumptions!B4/12*Assumptions!B58</f>
        <v>12500</v>
      </c>
      <c r="K13" s="21" t="n">
        <f aca="false">Assumptions!B4/12*Assumptions!B58</f>
        <v>12500</v>
      </c>
      <c r="L13" s="21" t="n">
        <f aca="false">Assumptions!B4/12*Assumptions!B58</f>
        <v>12500</v>
      </c>
      <c r="M13" s="21" t="n">
        <f aca="false">Assumptions!B4/12*Assumptions!B58</f>
        <v>12500</v>
      </c>
      <c r="N13" s="21" t="n">
        <f aca="false">Assumptions!B5/12*Assumptions!B58</f>
        <v>16666.6666666667</v>
      </c>
      <c r="O13" s="21" t="n">
        <f aca="false">Assumptions!B5/12*Assumptions!B58</f>
        <v>16666.6666666667</v>
      </c>
      <c r="P13" s="21" t="n">
        <f aca="false">Assumptions!B5/12*Assumptions!B58</f>
        <v>16666.6666666667</v>
      </c>
      <c r="Q13" s="21" t="n">
        <f aca="false">Assumptions!B5/12*Assumptions!B58</f>
        <v>16666.6666666667</v>
      </c>
      <c r="R13" s="21" t="n">
        <f aca="false">Assumptions!B5/12*Assumptions!B58</f>
        <v>16666.6666666667</v>
      </c>
      <c r="S13" s="21" t="n">
        <f aca="false">Assumptions!B5/12*Assumptions!B58</f>
        <v>16666.6666666667</v>
      </c>
      <c r="T13" s="21" t="n">
        <f aca="false">Assumptions!B5/12*Assumptions!B58</f>
        <v>16666.6666666667</v>
      </c>
      <c r="U13" s="21" t="n">
        <f aca="false">Assumptions!B5/12*Assumptions!B58</f>
        <v>16666.6666666667</v>
      </c>
      <c r="V13" s="21" t="n">
        <f aca="false">Assumptions!B5/12*Assumptions!B58</f>
        <v>16666.6666666667</v>
      </c>
      <c r="W13" s="21" t="n">
        <f aca="false">Assumptions!B5/12*Assumptions!B58</f>
        <v>16666.6666666667</v>
      </c>
      <c r="X13" s="21" t="n">
        <f aca="false">Assumptions!B5/12*Assumptions!B58</f>
        <v>16666.6666666667</v>
      </c>
      <c r="Y13" s="21" t="n">
        <f aca="false">Assumptions!B5/12*Assumptions!B58</f>
        <v>16666.6666666667</v>
      </c>
      <c r="Z13" s="21" t="n">
        <f aca="false">Assumptions!B6/12*Assumptions!B58</f>
        <v>29166.6666666667</v>
      </c>
      <c r="AA13" s="21" t="n">
        <f aca="false">Assumptions!B6/12*Assumptions!B58</f>
        <v>29166.6666666667</v>
      </c>
      <c r="AB13" s="21" t="n">
        <f aca="false">Assumptions!B6/12*Assumptions!B58</f>
        <v>29166.6666666667</v>
      </c>
      <c r="AC13" s="21" t="n">
        <f aca="false">Assumptions!B6/12*Assumptions!B58</f>
        <v>29166.6666666667</v>
      </c>
      <c r="AD13" s="21" t="n">
        <f aca="false">Assumptions!B6/12*Assumptions!B58</f>
        <v>29166.6666666667</v>
      </c>
      <c r="AE13" s="21" t="n">
        <f aca="false">Assumptions!B6/12*Assumptions!B58</f>
        <v>29166.6666666667</v>
      </c>
      <c r="AF13" s="21" t="n">
        <f aca="false">Assumptions!B6/12*Assumptions!B58</f>
        <v>29166.6666666667</v>
      </c>
      <c r="AG13" s="21" t="n">
        <f aca="false">Assumptions!B6/12*Assumptions!B58</f>
        <v>29166.6666666667</v>
      </c>
      <c r="AH13" s="21" t="n">
        <f aca="false">Assumptions!B6/12*Assumptions!B58</f>
        <v>29166.6666666667</v>
      </c>
      <c r="AI13" s="21" t="n">
        <f aca="false">Assumptions!B6/12*Assumptions!B58</f>
        <v>29166.6666666667</v>
      </c>
      <c r="AJ13" s="21" t="n">
        <f aca="false">Assumptions!B6/12*Assumptions!B58</f>
        <v>29166.6666666667</v>
      </c>
      <c r="AK13" s="21" t="n">
        <f aca="false">Assumptions!B6/12*Assumptions!B58</f>
        <v>29166.6666666667</v>
      </c>
      <c r="AL13" s="21" t="n">
        <f aca="false">SUM(B13:M13)</f>
        <v>150000</v>
      </c>
      <c r="AM13" s="21" t="n">
        <f aca="false">SUM(N13:Y13)</f>
        <v>200000</v>
      </c>
      <c r="AN13" s="21" t="n">
        <f aca="false">SUM(Z13:AK13)</f>
        <v>350000</v>
      </c>
      <c r="AO13" s="21" t="n">
        <f aca="false">AL13+AM13+AN13</f>
        <v>700000</v>
      </c>
    </row>
    <row r="14" customFormat="false" ht="15" hidden="false" customHeight="true" outlineLevel="0" collapsed="false">
      <c r="A14" s="8" t="s">
        <v>170</v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f aca="false">1*Assumptions!B7*Assumptions!B58</f>
        <v>30000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f aca="false">1*Assumptions!B7*Assumptions!B58</f>
        <v>30000</v>
      </c>
      <c r="M14" s="21" t="n">
        <v>0</v>
      </c>
      <c r="N14" s="21" t="n">
        <v>0</v>
      </c>
      <c r="O14" s="21" t="n">
        <f aca="false">1*Assumptions!B7*Assumptions!B58</f>
        <v>30000</v>
      </c>
      <c r="P14" s="21" t="n">
        <v>0</v>
      </c>
      <c r="Q14" s="21" t="n">
        <v>0</v>
      </c>
      <c r="R14" s="21" t="n">
        <f aca="false">1*Assumptions!B7*Assumptions!B58</f>
        <v>30000</v>
      </c>
      <c r="S14" s="21" t="n">
        <v>0</v>
      </c>
      <c r="T14" s="21" t="n">
        <v>0</v>
      </c>
      <c r="U14" s="21" t="n">
        <f aca="false">1*Assumptions!B7*Assumptions!B58</f>
        <v>30000</v>
      </c>
      <c r="V14" s="21" t="n">
        <v>0</v>
      </c>
      <c r="W14" s="21" t="n">
        <v>0</v>
      </c>
      <c r="X14" s="21" t="n">
        <f aca="false">1*Assumptions!B7*Assumptions!B58</f>
        <v>30000</v>
      </c>
      <c r="Y14" s="21" t="n">
        <v>0</v>
      </c>
      <c r="Z14" s="21" t="n">
        <v>0</v>
      </c>
      <c r="AA14" s="21" t="n">
        <f aca="false">1*Assumptions!B7*Assumptions!B58</f>
        <v>30000</v>
      </c>
      <c r="AB14" s="21" t="n">
        <v>0</v>
      </c>
      <c r="AC14" s="21" t="n">
        <f aca="false">1*Assumptions!B7*Assumptions!B58</f>
        <v>30000</v>
      </c>
      <c r="AD14" s="21" t="n">
        <v>0</v>
      </c>
      <c r="AE14" s="21" t="n">
        <f aca="false">1*Assumptions!B7*Assumptions!B58</f>
        <v>30000</v>
      </c>
      <c r="AF14" s="21" t="n">
        <v>0</v>
      </c>
      <c r="AG14" s="21" t="n">
        <f aca="false">1*Assumptions!B7*Assumptions!B58</f>
        <v>30000</v>
      </c>
      <c r="AH14" s="21" t="n">
        <v>0</v>
      </c>
      <c r="AI14" s="21" t="n">
        <f aca="false">1*Assumptions!B7*Assumptions!B58</f>
        <v>30000</v>
      </c>
      <c r="AJ14" s="21" t="n">
        <v>0</v>
      </c>
      <c r="AK14" s="21" t="n">
        <v>0</v>
      </c>
      <c r="AL14" s="21" t="n">
        <f aca="false">SUM(B14:M14)</f>
        <v>60000</v>
      </c>
      <c r="AM14" s="21" t="n">
        <f aca="false">SUM(N14:Y14)</f>
        <v>120000</v>
      </c>
      <c r="AN14" s="21" t="n">
        <f aca="false">SUM(Z14:AK14)</f>
        <v>150000</v>
      </c>
      <c r="AO14" s="21" t="n">
        <f aca="false">AL14+AM14+AN14</f>
        <v>330000</v>
      </c>
    </row>
    <row r="15" customFormat="false" ht="15" hidden="false" customHeight="true" outlineLevel="0" collapsed="false">
      <c r="A15" s="8" t="s">
        <v>171</v>
      </c>
      <c r="B15" s="21" t="n">
        <f aca="false">B7*Assumptions!B8/12*Assumptions!B58</f>
        <v>0</v>
      </c>
      <c r="C15" s="21" t="n">
        <f aca="false">C7*Assumptions!B8/12*Assumptions!B58</f>
        <v>0</v>
      </c>
      <c r="D15" s="21" t="n">
        <f aca="false">D7*Assumptions!B8/12*Assumptions!B58</f>
        <v>0</v>
      </c>
      <c r="E15" s="21" t="n">
        <f aca="false">E7*Assumptions!B8/12*Assumptions!B58</f>
        <v>0</v>
      </c>
      <c r="F15" s="21" t="n">
        <f aca="false">F7*Assumptions!B8/12*Assumptions!B58</f>
        <v>0</v>
      </c>
      <c r="G15" s="21" t="n">
        <f aca="false">G7*Assumptions!B8/12*Assumptions!B58</f>
        <v>1250</v>
      </c>
      <c r="H15" s="21" t="n">
        <f aca="false">H7*Assumptions!B8/12*Assumptions!B58</f>
        <v>1250</v>
      </c>
      <c r="I15" s="21" t="n">
        <f aca="false">I7*Assumptions!B8/12*Assumptions!B58</f>
        <v>1250</v>
      </c>
      <c r="J15" s="21" t="n">
        <f aca="false">J7*Assumptions!B8/12*Assumptions!B58</f>
        <v>1250</v>
      </c>
      <c r="K15" s="21" t="n">
        <f aca="false">K7*Assumptions!B8/12*Assumptions!B58</f>
        <v>1250</v>
      </c>
      <c r="L15" s="21" t="n">
        <f aca="false">L7*Assumptions!B8/12*Assumptions!B58</f>
        <v>2500</v>
      </c>
      <c r="M15" s="21" t="n">
        <f aca="false">M7*Assumptions!B8/12*Assumptions!B58</f>
        <v>2500</v>
      </c>
      <c r="N15" s="21" t="n">
        <f aca="false">N7*Assumptions!B9/12*Assumptions!B58</f>
        <v>4166.66666666667</v>
      </c>
      <c r="O15" s="21" t="n">
        <f aca="false">O7*Assumptions!B9/12*Assumptions!B58</f>
        <v>6250</v>
      </c>
      <c r="P15" s="21" t="n">
        <f aca="false">P7*Assumptions!B9/12*Assumptions!B58</f>
        <v>6250</v>
      </c>
      <c r="Q15" s="21" t="n">
        <f aca="false">Q7*Assumptions!B9/12*Assumptions!B58</f>
        <v>6250</v>
      </c>
      <c r="R15" s="21" t="n">
        <f aca="false">R7*Assumptions!B9/12*Assumptions!B58</f>
        <v>8333.33333333333</v>
      </c>
      <c r="S15" s="21" t="n">
        <f aca="false">S7*Assumptions!B9/12*Assumptions!B58</f>
        <v>8333.33333333333</v>
      </c>
      <c r="T15" s="21" t="n">
        <f aca="false">T7*Assumptions!B9/12*Assumptions!B58</f>
        <v>8333.33333333333</v>
      </c>
      <c r="U15" s="21" t="n">
        <f aca="false">U7*Assumptions!B9/12*Assumptions!B58</f>
        <v>10416.6666666667</v>
      </c>
      <c r="V15" s="21" t="n">
        <f aca="false">V7*Assumptions!B9/12*Assumptions!B58</f>
        <v>10416.6666666667</v>
      </c>
      <c r="W15" s="21" t="n">
        <f aca="false">W7*Assumptions!B9/12*Assumptions!B58</f>
        <v>10416.6666666667</v>
      </c>
      <c r="X15" s="21" t="n">
        <f aca="false">X7*Assumptions!B9/12*Assumptions!B58</f>
        <v>12500</v>
      </c>
      <c r="Y15" s="21" t="n">
        <f aca="false">Y7*Assumptions!B9/12*Assumptions!B58</f>
        <v>12500</v>
      </c>
      <c r="Z15" s="21" t="n">
        <f aca="false">Z7*Assumptions!B9/12*Assumptions!B58</f>
        <v>12500</v>
      </c>
      <c r="AA15" s="21" t="n">
        <f aca="false">AA7*Assumptions!B9/12*Assumptions!B58</f>
        <v>14583.3333333333</v>
      </c>
      <c r="AB15" s="21" t="n">
        <f aca="false">AB7*Assumptions!B9/12*Assumptions!B58</f>
        <v>14583.3333333333</v>
      </c>
      <c r="AC15" s="21" t="n">
        <f aca="false">AC7*Assumptions!B9/12*Assumptions!B58</f>
        <v>16666.6666666667</v>
      </c>
      <c r="AD15" s="21" t="n">
        <f aca="false">AD7*Assumptions!B9/12*Assumptions!B58</f>
        <v>16666.6666666667</v>
      </c>
      <c r="AE15" s="21" t="n">
        <f aca="false">AE7*Assumptions!B9/12*Assumptions!B58</f>
        <v>18750</v>
      </c>
      <c r="AF15" s="21" t="n">
        <f aca="false">AF7*Assumptions!B9/12*Assumptions!B58</f>
        <v>18750</v>
      </c>
      <c r="AG15" s="21" t="n">
        <f aca="false">AG7*Assumptions!B9/12*Assumptions!B58</f>
        <v>20833.3333333333</v>
      </c>
      <c r="AH15" s="21" t="n">
        <f aca="false">AH7*Assumptions!B9/12*Assumptions!B58</f>
        <v>20833.3333333333</v>
      </c>
      <c r="AI15" s="21" t="n">
        <f aca="false">AI7*Assumptions!B9/12*Assumptions!B58</f>
        <v>22916.6666666667</v>
      </c>
      <c r="AJ15" s="21" t="n">
        <f aca="false">AJ7*Assumptions!B9/12*Assumptions!B58</f>
        <v>22916.6666666667</v>
      </c>
      <c r="AK15" s="21" t="n">
        <f aca="false">AK7*Assumptions!B9/12*Assumptions!B58</f>
        <v>22916.6666666667</v>
      </c>
      <c r="AL15" s="21" t="n">
        <f aca="false">SUM(B15:M15)</f>
        <v>11250</v>
      </c>
      <c r="AM15" s="21" t="n">
        <f aca="false">SUM(N15:Y15)</f>
        <v>104166.666666667</v>
      </c>
      <c r="AN15" s="21" t="n">
        <f aca="false">SUM(Z15:AK15)</f>
        <v>222916.666666667</v>
      </c>
      <c r="AO15" s="21" t="n">
        <f aca="false">AL15+AM15+AN15</f>
        <v>338333.333333333</v>
      </c>
    </row>
    <row r="16" customFormat="false" ht="15" hidden="false" customHeight="true" outlineLevel="0" collapsed="false">
      <c r="A16" s="8" t="s">
        <v>172</v>
      </c>
      <c r="B16" s="21" t="n">
        <f aca="false">B8*Assumptions!B10/12*Assumptions!B58</f>
        <v>0</v>
      </c>
      <c r="C16" s="21" t="n">
        <f aca="false">C8*Assumptions!B10/12*Assumptions!B58</f>
        <v>0</v>
      </c>
      <c r="D16" s="21" t="n">
        <f aca="false">D8*Assumptions!B10/12*Assumptions!B58</f>
        <v>0</v>
      </c>
      <c r="E16" s="21" t="n">
        <f aca="false">E8*Assumptions!B10/12*Assumptions!B58</f>
        <v>0</v>
      </c>
      <c r="F16" s="21" t="n">
        <f aca="false">F8*Assumptions!B10/12*Assumptions!B58</f>
        <v>0</v>
      </c>
      <c r="G16" s="21" t="n">
        <f aca="false">G8*Assumptions!B10/12*Assumptions!B58</f>
        <v>0</v>
      </c>
      <c r="H16" s="21" t="n">
        <f aca="false">H8*Assumptions!B10/12*Assumptions!B58</f>
        <v>0</v>
      </c>
      <c r="I16" s="21" t="n">
        <f aca="false">I8*Assumptions!B10/12*Assumptions!B58</f>
        <v>0</v>
      </c>
      <c r="J16" s="21" t="n">
        <f aca="false">J8*Assumptions!B10/12*Assumptions!B58</f>
        <v>0</v>
      </c>
      <c r="K16" s="21" t="n">
        <f aca="false">K8*Assumptions!B10/12*Assumptions!B58</f>
        <v>0</v>
      </c>
      <c r="L16" s="21" t="n">
        <f aca="false">L8*Assumptions!B10/12*Assumptions!B58</f>
        <v>0</v>
      </c>
      <c r="M16" s="21" t="n">
        <f aca="false">M8*Assumptions!B10/12*Assumptions!B58</f>
        <v>0</v>
      </c>
      <c r="N16" s="21" t="n">
        <f aca="false">N8*Assumptions!B10/12*Assumptions!B58</f>
        <v>0</v>
      </c>
      <c r="O16" s="21" t="n">
        <f aca="false">O8*Assumptions!B10/12*Assumptions!B58</f>
        <v>0</v>
      </c>
      <c r="P16" s="21" t="n">
        <f aca="false">P8*Assumptions!B10/12*Assumptions!B58</f>
        <v>0</v>
      </c>
      <c r="Q16" s="21" t="n">
        <f aca="false">Q8*Assumptions!B10/12*Assumptions!B58</f>
        <v>0</v>
      </c>
      <c r="R16" s="21" t="n">
        <f aca="false">R8*Assumptions!B10/12*Assumptions!B58</f>
        <v>0</v>
      </c>
      <c r="S16" s="21" t="n">
        <f aca="false">S8*Assumptions!B10/12*Assumptions!B58</f>
        <v>3333.33333333333</v>
      </c>
      <c r="T16" s="21" t="n">
        <f aca="false">T8*Assumptions!B10/12*Assumptions!B58</f>
        <v>3333.33333333333</v>
      </c>
      <c r="U16" s="21" t="n">
        <f aca="false">U8*Assumptions!B10/12*Assumptions!B58</f>
        <v>3333.33333333333</v>
      </c>
      <c r="V16" s="21" t="n">
        <f aca="false">V8*Assumptions!B10/12*Assumptions!B58</f>
        <v>3333.33333333333</v>
      </c>
      <c r="W16" s="21" t="n">
        <f aca="false">W8*Assumptions!B10/12*Assumptions!B58</f>
        <v>6666.66666666667</v>
      </c>
      <c r="X16" s="21" t="n">
        <f aca="false">X8*Assumptions!B10/12*Assumptions!B58</f>
        <v>6666.66666666667</v>
      </c>
      <c r="Y16" s="21" t="n">
        <f aca="false">Y8*Assumptions!B10/12*Assumptions!B58</f>
        <v>6666.66666666667</v>
      </c>
      <c r="Z16" s="21" t="n">
        <f aca="false">Z8*Assumptions!B10/12*Assumptions!B58</f>
        <v>10000</v>
      </c>
      <c r="AA16" s="21" t="n">
        <f aca="false">AA8*Assumptions!B10/12*Assumptions!B58</f>
        <v>10000</v>
      </c>
      <c r="AB16" s="21" t="n">
        <f aca="false">AB8*Assumptions!B10/12*Assumptions!B58</f>
        <v>13333.3333333333</v>
      </c>
      <c r="AC16" s="21" t="n">
        <f aca="false">AC8*Assumptions!B10/12*Assumptions!B58</f>
        <v>13333.3333333333</v>
      </c>
      <c r="AD16" s="21" t="n">
        <f aca="false">AD8*Assumptions!B10/12*Assumptions!B58</f>
        <v>16666.6666666667</v>
      </c>
      <c r="AE16" s="21" t="n">
        <f aca="false">AE8*Assumptions!B10/12*Assumptions!B58</f>
        <v>16666.6666666667</v>
      </c>
      <c r="AF16" s="21" t="n">
        <f aca="false">AF8*Assumptions!B10/12*Assumptions!B58</f>
        <v>20000</v>
      </c>
      <c r="AG16" s="21" t="n">
        <f aca="false">AG8*Assumptions!B10/12*Assumptions!B58</f>
        <v>20000</v>
      </c>
      <c r="AH16" s="21" t="n">
        <f aca="false">AH8*Assumptions!B10/12*Assumptions!B58</f>
        <v>23333.3333333333</v>
      </c>
      <c r="AI16" s="21" t="n">
        <f aca="false">AI8*Assumptions!B10/12*Assumptions!B58</f>
        <v>23333.3333333333</v>
      </c>
      <c r="AJ16" s="21" t="n">
        <f aca="false">AJ8*Assumptions!B10/12*Assumptions!B58</f>
        <v>26666.6666666667</v>
      </c>
      <c r="AK16" s="21" t="n">
        <f aca="false">AK8*Assumptions!B10/12*Assumptions!B58</f>
        <v>26666.6666666667</v>
      </c>
      <c r="AL16" s="21" t="n">
        <f aca="false">SUM(B16:M16)</f>
        <v>0</v>
      </c>
      <c r="AM16" s="21" t="n">
        <f aca="false">SUM(N16:Y16)</f>
        <v>33333.3333333333</v>
      </c>
      <c r="AN16" s="21" t="n">
        <f aca="false">SUM(Z16:AK16)</f>
        <v>220000</v>
      </c>
      <c r="AO16" s="21" t="n">
        <f aca="false">AL16+AM16+AN16</f>
        <v>253333.333333333</v>
      </c>
    </row>
    <row r="17" customFormat="false" ht="15" hidden="false" customHeight="true" outlineLevel="0" collapsed="false">
      <c r="A17" s="8" t="s">
        <v>173</v>
      </c>
      <c r="B17" s="21" t="n">
        <v>0</v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f aca="false">1*Assumptions!B11*Assumptions!B58</f>
        <v>60000</v>
      </c>
      <c r="T17" s="21" t="n">
        <v>0</v>
      </c>
      <c r="U17" s="21" t="n">
        <v>0</v>
      </c>
      <c r="V17" s="21" t="n">
        <v>0</v>
      </c>
      <c r="W17" s="21" t="n">
        <f aca="false">1*Assumptions!B11*Assumptions!B58</f>
        <v>60000</v>
      </c>
      <c r="X17" s="21" t="n">
        <v>0</v>
      </c>
      <c r="Y17" s="21" t="n">
        <v>0</v>
      </c>
      <c r="Z17" s="21" t="n">
        <f aca="false">1*Assumptions!B11*Assumptions!B58</f>
        <v>60000</v>
      </c>
      <c r="AA17" s="21" t="n">
        <v>0</v>
      </c>
      <c r="AB17" s="21" t="n">
        <f aca="false">1*Assumptions!B11*Assumptions!B58</f>
        <v>60000</v>
      </c>
      <c r="AC17" s="21" t="n">
        <v>0</v>
      </c>
      <c r="AD17" s="21" t="n">
        <f aca="false">1*Assumptions!B11*Assumptions!B58</f>
        <v>60000</v>
      </c>
      <c r="AE17" s="21" t="n">
        <v>0</v>
      </c>
      <c r="AF17" s="21" t="n">
        <f aca="false">1*Assumptions!B11*Assumptions!B58</f>
        <v>60000</v>
      </c>
      <c r="AG17" s="21" t="n">
        <v>0</v>
      </c>
      <c r="AH17" s="21" t="n">
        <f aca="false">1*Assumptions!B11*Assumptions!B58</f>
        <v>60000</v>
      </c>
      <c r="AI17" s="21" t="n">
        <v>0</v>
      </c>
      <c r="AJ17" s="21" t="n">
        <f aca="false">1*Assumptions!B11*Assumptions!B58</f>
        <v>60000</v>
      </c>
      <c r="AK17" s="21" t="n">
        <v>0</v>
      </c>
      <c r="AL17" s="21" t="n">
        <f aca="false">SUM(B17:M17)</f>
        <v>0</v>
      </c>
      <c r="AM17" s="21" t="n">
        <f aca="false">SUM(N17:Y17)</f>
        <v>120000</v>
      </c>
      <c r="AN17" s="21" t="n">
        <f aca="false">SUM(Z17:AK17)</f>
        <v>360000</v>
      </c>
      <c r="AO17" s="21" t="n">
        <f aca="false">AL17+AM17+AN17</f>
        <v>480000</v>
      </c>
    </row>
    <row r="18" customFormat="false" ht="15" hidden="false" customHeight="true" outlineLevel="0" collapsed="false">
      <c r="A18" s="8" t="s">
        <v>174</v>
      </c>
      <c r="B18" s="21" t="n">
        <f aca="false">B9*Assumptions!B12/12*Assumptions!B58</f>
        <v>0</v>
      </c>
      <c r="C18" s="21" t="n">
        <f aca="false">C9*Assumptions!B12/12*Assumptions!B58</f>
        <v>0</v>
      </c>
      <c r="D18" s="21" t="n">
        <f aca="false">D9*Assumptions!B12/12*Assumptions!B58</f>
        <v>0</v>
      </c>
      <c r="E18" s="21" t="n">
        <f aca="false">E9*Assumptions!B12/12*Assumptions!B58</f>
        <v>0</v>
      </c>
      <c r="F18" s="21" t="n">
        <f aca="false">F9*Assumptions!B12/12*Assumptions!B58</f>
        <v>0</v>
      </c>
      <c r="G18" s="21" t="n">
        <f aca="false">G9*Assumptions!B12/12*Assumptions!B58</f>
        <v>0</v>
      </c>
      <c r="H18" s="21" t="n">
        <f aca="false">H9*Assumptions!B12/12*Assumptions!B58</f>
        <v>0</v>
      </c>
      <c r="I18" s="21" t="n">
        <f aca="false">I9*Assumptions!B12/12*Assumptions!B58</f>
        <v>0</v>
      </c>
      <c r="J18" s="21" t="n">
        <f aca="false">J9*Assumptions!B12/12*Assumptions!B58</f>
        <v>0</v>
      </c>
      <c r="K18" s="21" t="n">
        <f aca="false">K9*Assumptions!B12/12*Assumptions!B58</f>
        <v>0</v>
      </c>
      <c r="L18" s="21" t="n">
        <f aca="false">L9*Assumptions!B12/12*Assumptions!B58</f>
        <v>0</v>
      </c>
      <c r="M18" s="21" t="n">
        <f aca="false">M9*Assumptions!B12/12*Assumptions!B58</f>
        <v>0</v>
      </c>
      <c r="N18" s="21" t="n">
        <f aca="false">N9*Assumptions!B12/12*Assumptions!B58</f>
        <v>0</v>
      </c>
      <c r="O18" s="21" t="n">
        <f aca="false">O9*Assumptions!B12/12*Assumptions!B58</f>
        <v>0</v>
      </c>
      <c r="P18" s="21" t="n">
        <f aca="false">P9*Assumptions!B12/12*Assumptions!B58</f>
        <v>0</v>
      </c>
      <c r="Q18" s="21" t="n">
        <f aca="false">Q9*Assumptions!B12/12*Assumptions!B58</f>
        <v>0</v>
      </c>
      <c r="R18" s="21" t="n">
        <f aca="false">R9*Assumptions!B12/12*Assumptions!B58</f>
        <v>0</v>
      </c>
      <c r="S18" s="21" t="n">
        <f aca="false">S9*Assumptions!B12/12*Assumptions!B58</f>
        <v>0</v>
      </c>
      <c r="T18" s="21" t="n">
        <f aca="false">T9*Assumptions!B12/12*Assumptions!B58</f>
        <v>0</v>
      </c>
      <c r="U18" s="21" t="n">
        <f aca="false">U9*Assumptions!B12/12*Assumptions!B58</f>
        <v>0</v>
      </c>
      <c r="V18" s="21" t="n">
        <f aca="false">V9*Assumptions!B12/12*Assumptions!B58</f>
        <v>0</v>
      </c>
      <c r="W18" s="21" t="n">
        <f aca="false">W9*Assumptions!B12/12*Assumptions!B58</f>
        <v>0</v>
      </c>
      <c r="X18" s="21" t="n">
        <f aca="false">X9*Assumptions!B12/12*Assumptions!B58</f>
        <v>0</v>
      </c>
      <c r="Y18" s="21" t="n">
        <f aca="false">Y9*Assumptions!B12/12*Assumptions!B58</f>
        <v>0</v>
      </c>
      <c r="Z18" s="21" t="n">
        <f aca="false">Z9*Assumptions!B12/12*Assumptions!B58</f>
        <v>0</v>
      </c>
      <c r="AA18" s="21" t="n">
        <f aca="false">AA9*Assumptions!B12/12*Assumptions!B58</f>
        <v>0</v>
      </c>
      <c r="AB18" s="21" t="n">
        <f aca="false">AB9*Assumptions!B12/12*Assumptions!B58</f>
        <v>0</v>
      </c>
      <c r="AC18" s="21" t="n">
        <f aca="false">AC9*Assumptions!B12/12*Assumptions!B58</f>
        <v>20833.3333333333</v>
      </c>
      <c r="AD18" s="21" t="n">
        <f aca="false">AD9*Assumptions!B12/12*Assumptions!B58</f>
        <v>20833.3333333333</v>
      </c>
      <c r="AE18" s="21" t="n">
        <f aca="false">AE9*Assumptions!B12/12*Assumptions!B58</f>
        <v>20833.3333333333</v>
      </c>
      <c r="AF18" s="21" t="n">
        <f aca="false">AF9*Assumptions!B12/12*Assumptions!B58</f>
        <v>20833.3333333333</v>
      </c>
      <c r="AG18" s="21" t="n">
        <f aca="false">AG9*Assumptions!B12/12*Assumptions!B58</f>
        <v>20833.3333333333</v>
      </c>
      <c r="AH18" s="21" t="n">
        <f aca="false">AH9*Assumptions!B12/12*Assumptions!B58</f>
        <v>20833.3333333333</v>
      </c>
      <c r="AI18" s="21" t="n">
        <f aca="false">AI9*Assumptions!B12/12*Assumptions!B58</f>
        <v>41666.6666666667</v>
      </c>
      <c r="AJ18" s="21" t="n">
        <f aca="false">AJ9*Assumptions!B12/12*Assumptions!B58</f>
        <v>41666.6666666667</v>
      </c>
      <c r="AK18" s="21" t="n">
        <f aca="false">AK9*Assumptions!B12/12*Assumptions!B58</f>
        <v>41666.6666666667</v>
      </c>
      <c r="AL18" s="21" t="n">
        <f aca="false">SUM(B18:M18)</f>
        <v>0</v>
      </c>
      <c r="AM18" s="21" t="n">
        <f aca="false">SUM(N18:Y18)</f>
        <v>0</v>
      </c>
      <c r="AN18" s="21" t="n">
        <f aca="false">SUM(Z18:AK18)</f>
        <v>250000</v>
      </c>
      <c r="AO18" s="21" t="n">
        <f aca="false">AL18+AM18+AN18</f>
        <v>250000</v>
      </c>
    </row>
    <row r="19" customFormat="false" ht="15" hidden="false" customHeight="true" outlineLevel="0" collapsed="false">
      <c r="A19" s="22" t="s">
        <v>175</v>
      </c>
      <c r="B19" s="23" t="n">
        <f aca="false">SUM(B13:B18)</f>
        <v>12500</v>
      </c>
      <c r="C19" s="23" t="n">
        <f aca="false">SUM(C13:C18)</f>
        <v>12500</v>
      </c>
      <c r="D19" s="23" t="n">
        <f aca="false">SUM(D13:D18)</f>
        <v>12500</v>
      </c>
      <c r="E19" s="23" t="n">
        <f aca="false">SUM(E13:E18)</f>
        <v>12500</v>
      </c>
      <c r="F19" s="23" t="n">
        <f aca="false">SUM(F13:F18)</f>
        <v>12500</v>
      </c>
      <c r="G19" s="23" t="n">
        <f aca="false">SUM(G13:G18)</f>
        <v>43750</v>
      </c>
      <c r="H19" s="23" t="n">
        <f aca="false">SUM(H13:H18)</f>
        <v>13750</v>
      </c>
      <c r="I19" s="23" t="n">
        <f aca="false">SUM(I13:I18)</f>
        <v>13750</v>
      </c>
      <c r="J19" s="23" t="n">
        <f aca="false">SUM(J13:J18)</f>
        <v>13750</v>
      </c>
      <c r="K19" s="23" t="n">
        <f aca="false">SUM(K13:K18)</f>
        <v>13750</v>
      </c>
      <c r="L19" s="23" t="n">
        <f aca="false">SUM(L13:L18)</f>
        <v>45000</v>
      </c>
      <c r="M19" s="23" t="n">
        <f aca="false">SUM(M13:M18)</f>
        <v>15000</v>
      </c>
      <c r="N19" s="23" t="n">
        <f aca="false">SUM(N13:N18)</f>
        <v>20833.3333333333</v>
      </c>
      <c r="O19" s="23" t="n">
        <f aca="false">SUM(O13:O18)</f>
        <v>52916.6666666667</v>
      </c>
      <c r="P19" s="23" t="n">
        <f aca="false">SUM(P13:P18)</f>
        <v>22916.6666666667</v>
      </c>
      <c r="Q19" s="23" t="n">
        <f aca="false">SUM(Q13:Q18)</f>
        <v>22916.6666666667</v>
      </c>
      <c r="R19" s="23" t="n">
        <f aca="false">SUM(R13:R18)</f>
        <v>55000</v>
      </c>
      <c r="S19" s="23" t="n">
        <f aca="false">SUM(S13:S18)</f>
        <v>88333.3333333333</v>
      </c>
      <c r="T19" s="23" t="n">
        <f aca="false">SUM(T13:T18)</f>
        <v>28333.3333333333</v>
      </c>
      <c r="U19" s="23" t="n">
        <f aca="false">SUM(U13:U18)</f>
        <v>60416.6666666667</v>
      </c>
      <c r="V19" s="23" t="n">
        <f aca="false">SUM(V13:V18)</f>
        <v>30416.6666666667</v>
      </c>
      <c r="W19" s="23" t="n">
        <f aca="false">SUM(W13:W18)</f>
        <v>93750</v>
      </c>
      <c r="X19" s="23" t="n">
        <f aca="false">SUM(X13:X18)</f>
        <v>65833.3333333333</v>
      </c>
      <c r="Y19" s="23" t="n">
        <f aca="false">SUM(Y13:Y18)</f>
        <v>35833.3333333333</v>
      </c>
      <c r="Z19" s="23" t="n">
        <f aca="false">SUM(Z13:Z18)</f>
        <v>111666.666666667</v>
      </c>
      <c r="AA19" s="23" t="n">
        <f aca="false">SUM(AA13:AA18)</f>
        <v>83750</v>
      </c>
      <c r="AB19" s="23" t="n">
        <f aca="false">SUM(AB13:AB18)</f>
        <v>117083.333333333</v>
      </c>
      <c r="AC19" s="23" t="n">
        <f aca="false">SUM(AC13:AC18)</f>
        <v>110000</v>
      </c>
      <c r="AD19" s="23" t="n">
        <f aca="false">SUM(AD13:AD18)</f>
        <v>143333.333333333</v>
      </c>
      <c r="AE19" s="23" t="n">
        <f aca="false">SUM(AE13:AE18)</f>
        <v>115416.666666667</v>
      </c>
      <c r="AF19" s="23" t="n">
        <f aca="false">SUM(AF13:AF18)</f>
        <v>148750</v>
      </c>
      <c r="AG19" s="23" t="n">
        <f aca="false">SUM(AG13:AG18)</f>
        <v>120833.333333333</v>
      </c>
      <c r="AH19" s="23" t="n">
        <f aca="false">SUM(AH13:AH18)</f>
        <v>154166.666666667</v>
      </c>
      <c r="AI19" s="23" t="n">
        <f aca="false">SUM(AI13:AI18)</f>
        <v>147083.333333333</v>
      </c>
      <c r="AJ19" s="23" t="n">
        <f aca="false">SUM(AJ13:AJ18)</f>
        <v>180416.666666667</v>
      </c>
      <c r="AK19" s="23" t="n">
        <f aca="false">SUM(AK13:AK18)</f>
        <v>120416.666666667</v>
      </c>
      <c r="AL19" s="23" t="n">
        <f aca="false">SUM(B19:M19)</f>
        <v>221250</v>
      </c>
      <c r="AM19" s="23" t="n">
        <f aca="false">SUM(N19:Y19)</f>
        <v>577500</v>
      </c>
      <c r="AN19" s="23" t="n">
        <f aca="false">SUM(Z19:AK19)</f>
        <v>1552916.66666667</v>
      </c>
      <c r="AO19" s="23" t="n">
        <f aca="false">AL19+AM19+AN19</f>
        <v>2351666.66666667</v>
      </c>
    </row>
  </sheetData>
  <mergeCells count="5">
    <mergeCell ref="B2:M2"/>
    <mergeCell ref="N2:Y2"/>
    <mergeCell ref="Z2:AK2"/>
    <mergeCell ref="A5:AO5"/>
    <mergeCell ref="A12:A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1" min="2" style="1" width="11"/>
  </cols>
  <sheetData>
    <row r="1" customFormat="false" ht="17.25" hidden="false" customHeight="true" outlineLevel="0" collapsed="false">
      <c r="A1" s="2" t="s">
        <v>176</v>
      </c>
    </row>
    <row r="2" customFormat="false" ht="15" hidden="false" customHeight="true" outlineLevel="0" collapsed="false">
      <c r="B2" s="15" t="s">
        <v>118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 t="s">
        <v>119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 t="s">
        <v>120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2" t="s">
        <v>121</v>
      </c>
      <c r="AM2" s="12" t="s">
        <v>122</v>
      </c>
      <c r="AN2" s="12" t="s">
        <v>123</v>
      </c>
      <c r="AO2" s="12" t="s">
        <v>124</v>
      </c>
    </row>
    <row r="3" customFormat="false" ht="15" hidden="false" customHeight="true" outlineLevel="0" collapsed="false">
      <c r="A3" s="16" t="s">
        <v>125</v>
      </c>
      <c r="B3" s="12" t="s">
        <v>126</v>
      </c>
      <c r="C3" s="12" t="s">
        <v>127</v>
      </c>
      <c r="D3" s="12" t="s">
        <v>128</v>
      </c>
      <c r="E3" s="12" t="s">
        <v>129</v>
      </c>
      <c r="F3" s="12" t="s">
        <v>130</v>
      </c>
      <c r="G3" s="12" t="s">
        <v>131</v>
      </c>
      <c r="H3" s="12" t="s">
        <v>132</v>
      </c>
      <c r="I3" s="12" t="s">
        <v>133</v>
      </c>
      <c r="J3" s="12" t="s">
        <v>134</v>
      </c>
      <c r="K3" s="12" t="s">
        <v>135</v>
      </c>
      <c r="L3" s="12" t="s">
        <v>136</v>
      </c>
      <c r="M3" s="12" t="s">
        <v>137</v>
      </c>
      <c r="N3" s="12" t="s">
        <v>138</v>
      </c>
      <c r="O3" s="12" t="s">
        <v>139</v>
      </c>
      <c r="P3" s="12" t="s">
        <v>140</v>
      </c>
      <c r="Q3" s="12" t="s">
        <v>141</v>
      </c>
      <c r="R3" s="12" t="s">
        <v>142</v>
      </c>
      <c r="S3" s="12" t="s">
        <v>143</v>
      </c>
      <c r="T3" s="12" t="s">
        <v>144</v>
      </c>
      <c r="U3" s="12" t="s">
        <v>145</v>
      </c>
      <c r="V3" s="12" t="s">
        <v>146</v>
      </c>
      <c r="W3" s="12" t="s">
        <v>147</v>
      </c>
      <c r="X3" s="12" t="s">
        <v>148</v>
      </c>
      <c r="Y3" s="12" t="s">
        <v>149</v>
      </c>
      <c r="Z3" s="12" t="s">
        <v>150</v>
      </c>
      <c r="AA3" s="12" t="s">
        <v>151</v>
      </c>
      <c r="AB3" s="12" t="s">
        <v>152</v>
      </c>
      <c r="AC3" s="12" t="s">
        <v>153</v>
      </c>
      <c r="AD3" s="12" t="s">
        <v>154</v>
      </c>
      <c r="AE3" s="12" t="s">
        <v>155</v>
      </c>
      <c r="AF3" s="12" t="s">
        <v>156</v>
      </c>
      <c r="AG3" s="12" t="s">
        <v>157</v>
      </c>
      <c r="AH3" s="12" t="s">
        <v>158</v>
      </c>
      <c r="AI3" s="12" t="s">
        <v>159</v>
      </c>
      <c r="AJ3" s="12" t="s">
        <v>160</v>
      </c>
      <c r="AK3" s="12" t="s">
        <v>161</v>
      </c>
    </row>
    <row r="5" customFormat="false" ht="15" hidden="false" customHeight="true" outlineLevel="0" collapsed="false">
      <c r="A5" s="7" t="s">
        <v>177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customFormat="false" ht="15" hidden="false" customHeight="true" outlineLevel="0" collapsed="false">
      <c r="A6" s="8" t="s">
        <v>178</v>
      </c>
      <c r="B6" s="24" t="n">
        <f aca="false">Revenue!B10*Assumptions!B29*Assumptions!B30*Assumptions!B60</f>
        <v>300</v>
      </c>
      <c r="C6" s="24" t="n">
        <f aca="false">Revenue!C10*Assumptions!B29*Assumptions!B30*Assumptions!B60</f>
        <v>300</v>
      </c>
      <c r="D6" s="24" t="n">
        <f aca="false">Revenue!D10*Assumptions!B29*Assumptions!B30*Assumptions!B60</f>
        <v>300</v>
      </c>
      <c r="E6" s="24" t="n">
        <f aca="false">Revenue!E10*Assumptions!B29*Assumptions!B30*Assumptions!B60</f>
        <v>300</v>
      </c>
      <c r="F6" s="24" t="n">
        <f aca="false">Revenue!F10*Assumptions!B29*Assumptions!B30*Assumptions!B60</f>
        <v>300</v>
      </c>
      <c r="G6" s="24" t="n">
        <f aca="false">Revenue!G10*Assumptions!B29*Assumptions!B30*Assumptions!B60</f>
        <v>600</v>
      </c>
      <c r="H6" s="24" t="n">
        <f aca="false">Revenue!H10*Assumptions!B29*Assumptions!B30*Assumptions!B60</f>
        <v>600</v>
      </c>
      <c r="I6" s="24" t="n">
        <f aca="false">Revenue!I10*Assumptions!B29*Assumptions!B30*Assumptions!B60</f>
        <v>600</v>
      </c>
      <c r="J6" s="24" t="n">
        <f aca="false">Revenue!J10*Assumptions!B29*Assumptions!B30*Assumptions!B60</f>
        <v>600</v>
      </c>
      <c r="K6" s="24" t="n">
        <f aca="false">Revenue!K10*Assumptions!B29*Assumptions!B30*Assumptions!B60</f>
        <v>600</v>
      </c>
      <c r="L6" s="24" t="n">
        <f aca="false">Revenue!L10*Assumptions!B29*Assumptions!B30*Assumptions!B60</f>
        <v>900</v>
      </c>
      <c r="M6" s="24" t="n">
        <f aca="false">Revenue!M10*Assumptions!B29*Assumptions!B30*Assumptions!B60</f>
        <v>900</v>
      </c>
      <c r="N6" s="24" t="n">
        <f aca="false">Revenue!N10*Assumptions!B29*Assumptions!B30*Assumptions!B60</f>
        <v>900</v>
      </c>
      <c r="O6" s="24" t="n">
        <f aca="false">Revenue!O10*Assumptions!B29*Assumptions!B30*Assumptions!B60</f>
        <v>1200</v>
      </c>
      <c r="P6" s="24" t="n">
        <f aca="false">Revenue!P10*Assumptions!B29*Assumptions!B30*Assumptions!B60</f>
        <v>1200</v>
      </c>
      <c r="Q6" s="24" t="n">
        <f aca="false">Revenue!Q10*Assumptions!B29*Assumptions!B30*Assumptions!B60</f>
        <v>1200</v>
      </c>
      <c r="R6" s="24" t="n">
        <f aca="false">Revenue!R10*Assumptions!B29*Assumptions!B30*Assumptions!B60</f>
        <v>1500</v>
      </c>
      <c r="S6" s="24" t="n">
        <f aca="false">Revenue!S10*Assumptions!B29*Assumptions!B30*Assumptions!B60</f>
        <v>1800</v>
      </c>
      <c r="T6" s="24" t="n">
        <f aca="false">Revenue!T10*Assumptions!B29*Assumptions!B30*Assumptions!B60</f>
        <v>1800</v>
      </c>
      <c r="U6" s="24" t="n">
        <f aca="false">Revenue!U10*Assumptions!B29*Assumptions!B30*Assumptions!B60</f>
        <v>2100</v>
      </c>
      <c r="V6" s="24" t="n">
        <f aca="false">Revenue!V10*Assumptions!B29*Assumptions!B30*Assumptions!B60</f>
        <v>2100</v>
      </c>
      <c r="W6" s="24" t="n">
        <f aca="false">Revenue!W10*Assumptions!B29*Assumptions!B30*Assumptions!B60</f>
        <v>2400</v>
      </c>
      <c r="X6" s="24" t="n">
        <f aca="false">Revenue!X10*Assumptions!B29*Assumptions!B30*Assumptions!B60</f>
        <v>2700</v>
      </c>
      <c r="Y6" s="24" t="n">
        <f aca="false">Revenue!Y10*Assumptions!B29*Assumptions!B30*Assumptions!B60</f>
        <v>2700</v>
      </c>
      <c r="Z6" s="24" t="n">
        <f aca="false">Revenue!Z10*Assumptions!B29*Assumptions!B30*Assumptions!B60</f>
        <v>3000</v>
      </c>
      <c r="AA6" s="24" t="n">
        <f aca="false">Revenue!AA10*Assumptions!B29*Assumptions!B30*Assumptions!B60</f>
        <v>3300</v>
      </c>
      <c r="AB6" s="24" t="n">
        <f aca="false">Revenue!AB10*Assumptions!B29*Assumptions!B30*Assumptions!B60</f>
        <v>3600</v>
      </c>
      <c r="AC6" s="24" t="n">
        <f aca="false">Revenue!AC10*Assumptions!B29*Assumptions!B30*Assumptions!B60</f>
        <v>4200</v>
      </c>
      <c r="AD6" s="24" t="n">
        <f aca="false">Revenue!AD10*Assumptions!B29*Assumptions!B30*Assumptions!B60</f>
        <v>4500</v>
      </c>
      <c r="AE6" s="24" t="n">
        <f aca="false">Revenue!AE10*Assumptions!B29*Assumptions!B30*Assumptions!B60</f>
        <v>4800</v>
      </c>
      <c r="AF6" s="24" t="n">
        <f aca="false">Revenue!AF10*Assumptions!B29*Assumptions!B30*Assumptions!B60</f>
        <v>5100</v>
      </c>
      <c r="AG6" s="24" t="n">
        <f aca="false">Revenue!AG10*Assumptions!B29*Assumptions!B30*Assumptions!B60</f>
        <v>5400</v>
      </c>
      <c r="AH6" s="24" t="n">
        <f aca="false">Revenue!AH10*Assumptions!B29*Assumptions!B30*Assumptions!B60</f>
        <v>5700</v>
      </c>
      <c r="AI6" s="24" t="n">
        <f aca="false">Revenue!AI10*Assumptions!B29*Assumptions!B30*Assumptions!B60</f>
        <v>6300</v>
      </c>
      <c r="AJ6" s="24" t="n">
        <f aca="false">Revenue!AJ10*Assumptions!B29*Assumptions!B30*Assumptions!B60</f>
        <v>6600</v>
      </c>
      <c r="AK6" s="24" t="n">
        <f aca="false">Revenue!AK10*Assumptions!B29*Assumptions!B30*Assumptions!B60</f>
        <v>6600</v>
      </c>
      <c r="AL6" s="21" t="n">
        <f aca="false">SUM(B6:M6)</f>
        <v>6300</v>
      </c>
      <c r="AM6" s="21" t="n">
        <f aca="false">SUM(N6:Y6)</f>
        <v>21600</v>
      </c>
      <c r="AN6" s="21" t="n">
        <f aca="false">SUM(Z6:AK6)</f>
        <v>59100</v>
      </c>
      <c r="AO6" s="21" t="n">
        <f aca="false">AL6+AM6+AN6</f>
        <v>87000</v>
      </c>
    </row>
    <row r="7" customFormat="false" ht="15" hidden="false" customHeight="true" outlineLevel="0" collapsed="false">
      <c r="A7" s="8" t="s">
        <v>179</v>
      </c>
      <c r="B7" s="24" t="n">
        <f aca="false">Revenue!B10*Assumptions!B31*Assumptions!B60</f>
        <v>50</v>
      </c>
      <c r="C7" s="24" t="n">
        <f aca="false">Revenue!C10*Assumptions!B31*Assumptions!B60</f>
        <v>50</v>
      </c>
      <c r="D7" s="24" t="n">
        <f aca="false">Revenue!D10*Assumptions!B31*Assumptions!B60</f>
        <v>50</v>
      </c>
      <c r="E7" s="24" t="n">
        <f aca="false">Revenue!E10*Assumptions!B31*Assumptions!B60</f>
        <v>50</v>
      </c>
      <c r="F7" s="24" t="n">
        <f aca="false">Revenue!F10*Assumptions!B31*Assumptions!B60</f>
        <v>50</v>
      </c>
      <c r="G7" s="24" t="n">
        <f aca="false">Revenue!G10*Assumptions!B31*Assumptions!B60</f>
        <v>100</v>
      </c>
      <c r="H7" s="24" t="n">
        <f aca="false">Revenue!H10*Assumptions!B31*Assumptions!B60</f>
        <v>100</v>
      </c>
      <c r="I7" s="24" t="n">
        <f aca="false">Revenue!I10*Assumptions!B31*Assumptions!B60</f>
        <v>100</v>
      </c>
      <c r="J7" s="24" t="n">
        <f aca="false">Revenue!J10*Assumptions!B31*Assumptions!B60</f>
        <v>100</v>
      </c>
      <c r="K7" s="24" t="n">
        <f aca="false">Revenue!K10*Assumptions!B31*Assumptions!B60</f>
        <v>100</v>
      </c>
      <c r="L7" s="24" t="n">
        <f aca="false">Revenue!L10*Assumptions!B31*Assumptions!B60</f>
        <v>150</v>
      </c>
      <c r="M7" s="24" t="n">
        <f aca="false">Revenue!M10*Assumptions!B31*Assumptions!B60</f>
        <v>150</v>
      </c>
      <c r="N7" s="24" t="n">
        <f aca="false">Revenue!N10*Assumptions!B31*Assumptions!B60</f>
        <v>150</v>
      </c>
      <c r="O7" s="24" t="n">
        <f aca="false">Revenue!O10*Assumptions!B31*Assumptions!B60</f>
        <v>200</v>
      </c>
      <c r="P7" s="24" t="n">
        <f aca="false">Revenue!P10*Assumptions!B31*Assumptions!B60</f>
        <v>200</v>
      </c>
      <c r="Q7" s="24" t="n">
        <f aca="false">Revenue!Q10*Assumptions!B31*Assumptions!B60</f>
        <v>200</v>
      </c>
      <c r="R7" s="24" t="n">
        <f aca="false">Revenue!R10*Assumptions!B31*Assumptions!B60</f>
        <v>250</v>
      </c>
      <c r="S7" s="24" t="n">
        <f aca="false">Revenue!S10*Assumptions!B31*Assumptions!B60</f>
        <v>300</v>
      </c>
      <c r="T7" s="24" t="n">
        <f aca="false">Revenue!T10*Assumptions!B31*Assumptions!B60</f>
        <v>300</v>
      </c>
      <c r="U7" s="24" t="n">
        <f aca="false">Revenue!U10*Assumptions!B31*Assumptions!B60</f>
        <v>350</v>
      </c>
      <c r="V7" s="24" t="n">
        <f aca="false">Revenue!V10*Assumptions!B31*Assumptions!B60</f>
        <v>350</v>
      </c>
      <c r="W7" s="24" t="n">
        <f aca="false">Revenue!W10*Assumptions!B31*Assumptions!B60</f>
        <v>400</v>
      </c>
      <c r="X7" s="24" t="n">
        <f aca="false">Revenue!X10*Assumptions!B31*Assumptions!B60</f>
        <v>450</v>
      </c>
      <c r="Y7" s="24" t="n">
        <f aca="false">Revenue!Y10*Assumptions!B31*Assumptions!B60</f>
        <v>450</v>
      </c>
      <c r="Z7" s="24" t="n">
        <f aca="false">Revenue!Z10*Assumptions!B31*Assumptions!B60</f>
        <v>500</v>
      </c>
      <c r="AA7" s="24" t="n">
        <f aca="false">Revenue!AA10*Assumptions!B31*Assumptions!B60</f>
        <v>550</v>
      </c>
      <c r="AB7" s="24" t="n">
        <f aca="false">Revenue!AB10*Assumptions!B31*Assumptions!B60</f>
        <v>600</v>
      </c>
      <c r="AC7" s="24" t="n">
        <f aca="false">Revenue!AC10*Assumptions!B31*Assumptions!B60</f>
        <v>700</v>
      </c>
      <c r="AD7" s="24" t="n">
        <f aca="false">Revenue!AD10*Assumptions!B31*Assumptions!B60</f>
        <v>750</v>
      </c>
      <c r="AE7" s="24" t="n">
        <f aca="false">Revenue!AE10*Assumptions!B31*Assumptions!B60</f>
        <v>800</v>
      </c>
      <c r="AF7" s="24" t="n">
        <f aca="false">Revenue!AF10*Assumptions!B31*Assumptions!B60</f>
        <v>850</v>
      </c>
      <c r="AG7" s="24" t="n">
        <f aca="false">Revenue!AG10*Assumptions!B31*Assumptions!B60</f>
        <v>900</v>
      </c>
      <c r="AH7" s="24" t="n">
        <f aca="false">Revenue!AH10*Assumptions!B31*Assumptions!B60</f>
        <v>950</v>
      </c>
      <c r="AI7" s="24" t="n">
        <f aca="false">Revenue!AI10*Assumptions!B31*Assumptions!B60</f>
        <v>1050</v>
      </c>
      <c r="AJ7" s="24" t="n">
        <f aca="false">Revenue!AJ10*Assumptions!B31*Assumptions!B60</f>
        <v>1100</v>
      </c>
      <c r="AK7" s="24" t="n">
        <f aca="false">Revenue!AK10*Assumptions!B31*Assumptions!B60</f>
        <v>1100</v>
      </c>
      <c r="AL7" s="21" t="n">
        <f aca="false">SUM(B7:M7)</f>
        <v>1050</v>
      </c>
      <c r="AM7" s="21" t="n">
        <f aca="false">SUM(N7:Y7)</f>
        <v>3600</v>
      </c>
      <c r="AN7" s="21" t="n">
        <f aca="false">SUM(Z7:AK7)</f>
        <v>9850</v>
      </c>
      <c r="AO7" s="21" t="n">
        <f aca="false">AL7+AM7+AN7</f>
        <v>14500</v>
      </c>
    </row>
    <row r="9" customFormat="false" ht="15" hidden="false" customHeight="true" outlineLevel="0" collapsed="false">
      <c r="A9" s="7" t="s">
        <v>180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customFormat="false" ht="15" hidden="false" customHeight="true" outlineLevel="0" collapsed="false">
      <c r="A10" s="8" t="s">
        <v>181</v>
      </c>
      <c r="B10" s="24" t="n">
        <f aca="false">Assumptions!B32*Assumptions!B60</f>
        <v>400</v>
      </c>
      <c r="C10" s="24" t="n">
        <f aca="false">Assumptions!B32*Assumptions!B60</f>
        <v>400</v>
      </c>
      <c r="D10" s="24" t="n">
        <f aca="false">Assumptions!B32*Assumptions!B60</f>
        <v>400</v>
      </c>
      <c r="E10" s="24" t="n">
        <f aca="false">Assumptions!B32*Assumptions!B60</f>
        <v>400</v>
      </c>
      <c r="F10" s="24" t="n">
        <f aca="false">Assumptions!B32*Assumptions!B60</f>
        <v>400</v>
      </c>
      <c r="G10" s="24" t="n">
        <f aca="false">Assumptions!B32*Assumptions!B60</f>
        <v>400</v>
      </c>
      <c r="H10" s="24" t="n">
        <f aca="false">Assumptions!B32*Assumptions!B60</f>
        <v>400</v>
      </c>
      <c r="I10" s="24" t="n">
        <f aca="false">Assumptions!B32*Assumptions!B60</f>
        <v>400</v>
      </c>
      <c r="J10" s="24" t="n">
        <f aca="false">Assumptions!B32*Assumptions!B60</f>
        <v>400</v>
      </c>
      <c r="K10" s="24" t="n">
        <f aca="false">Assumptions!B32*Assumptions!B60</f>
        <v>400</v>
      </c>
      <c r="L10" s="24" t="n">
        <f aca="false">Assumptions!B32*Assumptions!B60</f>
        <v>400</v>
      </c>
      <c r="M10" s="24" t="n">
        <f aca="false">Assumptions!B32*Assumptions!B60</f>
        <v>400</v>
      </c>
      <c r="N10" s="24" t="n">
        <f aca="false">Assumptions!B32*Assumptions!B60</f>
        <v>400</v>
      </c>
      <c r="O10" s="24" t="n">
        <f aca="false">Assumptions!B32*Assumptions!B60</f>
        <v>400</v>
      </c>
      <c r="P10" s="24" t="n">
        <f aca="false">Assumptions!B32*Assumptions!B60</f>
        <v>400</v>
      </c>
      <c r="Q10" s="24" t="n">
        <f aca="false">Assumptions!B32*Assumptions!B60</f>
        <v>400</v>
      </c>
      <c r="R10" s="24" t="n">
        <f aca="false">Assumptions!B32*Assumptions!B60</f>
        <v>400</v>
      </c>
      <c r="S10" s="24" t="n">
        <f aca="false">Assumptions!B32*Assumptions!B60</f>
        <v>400</v>
      </c>
      <c r="T10" s="24" t="n">
        <f aca="false">Assumptions!B32*Assumptions!B60</f>
        <v>400</v>
      </c>
      <c r="U10" s="24" t="n">
        <f aca="false">Assumptions!B32*Assumptions!B60</f>
        <v>400</v>
      </c>
      <c r="V10" s="24" t="n">
        <f aca="false">Assumptions!B32*Assumptions!B60</f>
        <v>400</v>
      </c>
      <c r="W10" s="24" t="n">
        <f aca="false">Assumptions!B32*Assumptions!B60</f>
        <v>400</v>
      </c>
      <c r="X10" s="24" t="n">
        <f aca="false">Assumptions!B32*Assumptions!B60</f>
        <v>400</v>
      </c>
      <c r="Y10" s="24" t="n">
        <f aca="false">Assumptions!B32*Assumptions!B60</f>
        <v>400</v>
      </c>
      <c r="Z10" s="24" t="n">
        <f aca="false">Assumptions!B32*Assumptions!B60</f>
        <v>400</v>
      </c>
      <c r="AA10" s="24" t="n">
        <f aca="false">Assumptions!B32*Assumptions!B60</f>
        <v>400</v>
      </c>
      <c r="AB10" s="24" t="n">
        <f aca="false">Assumptions!B32*Assumptions!B60</f>
        <v>400</v>
      </c>
      <c r="AC10" s="24" t="n">
        <f aca="false">Assumptions!B32*Assumptions!B60</f>
        <v>400</v>
      </c>
      <c r="AD10" s="24" t="n">
        <f aca="false">Assumptions!B32*Assumptions!B60</f>
        <v>400</v>
      </c>
      <c r="AE10" s="24" t="n">
        <f aca="false">Assumptions!B32*Assumptions!B60</f>
        <v>400</v>
      </c>
      <c r="AF10" s="24" t="n">
        <f aca="false">Assumptions!B32*Assumptions!B60</f>
        <v>400</v>
      </c>
      <c r="AG10" s="24" t="n">
        <f aca="false">Assumptions!B32*Assumptions!B60</f>
        <v>400</v>
      </c>
      <c r="AH10" s="24" t="n">
        <f aca="false">Assumptions!B32*Assumptions!B60</f>
        <v>400</v>
      </c>
      <c r="AI10" s="24" t="n">
        <f aca="false">Assumptions!B32*Assumptions!B60</f>
        <v>400</v>
      </c>
      <c r="AJ10" s="24" t="n">
        <f aca="false">Assumptions!B32*Assumptions!B60</f>
        <v>400</v>
      </c>
      <c r="AK10" s="24" t="n">
        <f aca="false">Assumptions!B32*Assumptions!B60</f>
        <v>400</v>
      </c>
      <c r="AL10" s="21" t="n">
        <f aca="false">SUM(B10:M10)</f>
        <v>4800</v>
      </c>
      <c r="AM10" s="21" t="n">
        <f aca="false">SUM(N10:Y10)</f>
        <v>4800</v>
      </c>
      <c r="AN10" s="21" t="n">
        <f aca="false">SUM(Z10:AK10)</f>
        <v>4800</v>
      </c>
      <c r="AO10" s="21" t="n">
        <f aca="false">AL10+AM10+AN10</f>
        <v>14400</v>
      </c>
    </row>
    <row r="11" customFormat="false" ht="15" hidden="false" customHeight="true" outlineLevel="0" collapsed="false">
      <c r="A11" s="8" t="s">
        <v>182</v>
      </c>
      <c r="B11" s="24" t="n">
        <f aca="false">Assumptions!B33/12*Assumptions!B60</f>
        <v>1250</v>
      </c>
      <c r="C11" s="24" t="n">
        <f aca="false">Assumptions!B33/12*Assumptions!B60</f>
        <v>1250</v>
      </c>
      <c r="D11" s="24" t="n">
        <f aca="false">Assumptions!B33/12*Assumptions!B60</f>
        <v>1250</v>
      </c>
      <c r="E11" s="24" t="n">
        <f aca="false">Assumptions!B33/12*Assumptions!B60</f>
        <v>1250</v>
      </c>
      <c r="F11" s="24" t="n">
        <f aca="false">Assumptions!B33/12*Assumptions!B60</f>
        <v>1250</v>
      </c>
      <c r="G11" s="24" t="n">
        <f aca="false">Assumptions!B33/12*Assumptions!B60</f>
        <v>1250</v>
      </c>
      <c r="H11" s="24" t="n">
        <f aca="false">Assumptions!B33/12*Assumptions!B60</f>
        <v>1250</v>
      </c>
      <c r="I11" s="24" t="n">
        <f aca="false">Assumptions!B33/12*Assumptions!B60</f>
        <v>1250</v>
      </c>
      <c r="J11" s="24" t="n">
        <f aca="false">Assumptions!B33/12*Assumptions!B60</f>
        <v>1250</v>
      </c>
      <c r="K11" s="24" t="n">
        <f aca="false">Assumptions!B33/12*Assumptions!B60</f>
        <v>1250</v>
      </c>
      <c r="L11" s="24" t="n">
        <f aca="false">Assumptions!B33/12*Assumptions!B60</f>
        <v>1250</v>
      </c>
      <c r="M11" s="24" t="n">
        <f aca="false">Assumptions!B33/12*Assumptions!B60</f>
        <v>1250</v>
      </c>
      <c r="N11" s="24" t="n">
        <f aca="false">Assumptions!B34/12*Assumptions!B60</f>
        <v>2083.33333333333</v>
      </c>
      <c r="O11" s="24" t="n">
        <f aca="false">Assumptions!B34/12*Assumptions!B60</f>
        <v>2083.33333333333</v>
      </c>
      <c r="P11" s="24" t="n">
        <f aca="false">Assumptions!B34/12*Assumptions!B60</f>
        <v>2083.33333333333</v>
      </c>
      <c r="Q11" s="24" t="n">
        <f aca="false">Assumptions!B34/12*Assumptions!B60</f>
        <v>2083.33333333333</v>
      </c>
      <c r="R11" s="24" t="n">
        <f aca="false">Assumptions!B34/12*Assumptions!B60</f>
        <v>2083.33333333333</v>
      </c>
      <c r="S11" s="24" t="n">
        <f aca="false">Assumptions!B34/12*Assumptions!B60</f>
        <v>2083.33333333333</v>
      </c>
      <c r="T11" s="24" t="n">
        <f aca="false">Assumptions!B34/12*Assumptions!B60</f>
        <v>2083.33333333333</v>
      </c>
      <c r="U11" s="24" t="n">
        <f aca="false">Assumptions!B34/12*Assumptions!B60</f>
        <v>2083.33333333333</v>
      </c>
      <c r="V11" s="24" t="n">
        <f aca="false">Assumptions!B34/12*Assumptions!B60</f>
        <v>2083.33333333333</v>
      </c>
      <c r="W11" s="24" t="n">
        <f aca="false">Assumptions!B34/12*Assumptions!B60</f>
        <v>2083.33333333333</v>
      </c>
      <c r="X11" s="24" t="n">
        <f aca="false">Assumptions!B34/12*Assumptions!B60</f>
        <v>2083.33333333333</v>
      </c>
      <c r="Y11" s="24" t="n">
        <f aca="false">Assumptions!B34/12*Assumptions!B60</f>
        <v>2083.33333333333</v>
      </c>
      <c r="Z11" s="24" t="n">
        <f aca="false">Assumptions!B35/12*Assumptions!B60</f>
        <v>3333.33333333333</v>
      </c>
      <c r="AA11" s="24" t="n">
        <f aca="false">Assumptions!B35/12*Assumptions!B60</f>
        <v>3333.33333333333</v>
      </c>
      <c r="AB11" s="24" t="n">
        <f aca="false">Assumptions!B35/12*Assumptions!B60</f>
        <v>3333.33333333333</v>
      </c>
      <c r="AC11" s="24" t="n">
        <f aca="false">Assumptions!B35/12*Assumptions!B60</f>
        <v>3333.33333333333</v>
      </c>
      <c r="AD11" s="24" t="n">
        <f aca="false">Assumptions!B35/12*Assumptions!B60</f>
        <v>3333.33333333333</v>
      </c>
      <c r="AE11" s="24" t="n">
        <f aca="false">Assumptions!B35/12*Assumptions!B60</f>
        <v>3333.33333333333</v>
      </c>
      <c r="AF11" s="24" t="n">
        <f aca="false">Assumptions!B35/12*Assumptions!B60</f>
        <v>3333.33333333333</v>
      </c>
      <c r="AG11" s="24" t="n">
        <f aca="false">Assumptions!B35/12*Assumptions!B60</f>
        <v>3333.33333333333</v>
      </c>
      <c r="AH11" s="24" t="n">
        <f aca="false">Assumptions!B35/12*Assumptions!B60</f>
        <v>3333.33333333333</v>
      </c>
      <c r="AI11" s="24" t="n">
        <f aca="false">Assumptions!B35/12*Assumptions!B60</f>
        <v>3333.33333333333</v>
      </c>
      <c r="AJ11" s="24" t="n">
        <f aca="false">Assumptions!B35/12*Assumptions!B60</f>
        <v>3333.33333333333</v>
      </c>
      <c r="AK11" s="24" t="n">
        <f aca="false">Assumptions!B35/12*Assumptions!B60</f>
        <v>3333.33333333333</v>
      </c>
      <c r="AL11" s="21" t="n">
        <f aca="false">SUM(B11:M11)</f>
        <v>15000</v>
      </c>
      <c r="AM11" s="21" t="n">
        <f aca="false">SUM(N11:Y11)</f>
        <v>25000</v>
      </c>
      <c r="AN11" s="21" t="n">
        <f aca="false">SUM(Z11:AK11)</f>
        <v>40000</v>
      </c>
      <c r="AO11" s="21" t="n">
        <f aca="false">AL11+AM11+AN11</f>
        <v>80000</v>
      </c>
    </row>
    <row r="12" customFormat="false" ht="15" hidden="false" customHeight="true" outlineLevel="0" collapsed="false">
      <c r="A12" s="8" t="s">
        <v>183</v>
      </c>
      <c r="B12" s="24" t="n">
        <f aca="false">Assumptions!B36/12*Assumptions!B60</f>
        <v>500</v>
      </c>
      <c r="C12" s="24" t="n">
        <f aca="false">Assumptions!B36/12*Assumptions!B60</f>
        <v>500</v>
      </c>
      <c r="D12" s="24" t="n">
        <f aca="false">Assumptions!B36/12*Assumptions!B60</f>
        <v>500</v>
      </c>
      <c r="E12" s="24" t="n">
        <f aca="false">Assumptions!B36/12*Assumptions!B60</f>
        <v>500</v>
      </c>
      <c r="F12" s="24" t="n">
        <f aca="false">Assumptions!B36/12*Assumptions!B60</f>
        <v>500</v>
      </c>
      <c r="G12" s="24" t="n">
        <f aca="false">Assumptions!B36/12*Assumptions!B60</f>
        <v>500</v>
      </c>
      <c r="H12" s="24" t="n">
        <f aca="false">Assumptions!B36/12*Assumptions!B60</f>
        <v>500</v>
      </c>
      <c r="I12" s="24" t="n">
        <f aca="false">Assumptions!B36/12*Assumptions!B60</f>
        <v>500</v>
      </c>
      <c r="J12" s="24" t="n">
        <f aca="false">Assumptions!B36/12*Assumptions!B60</f>
        <v>500</v>
      </c>
      <c r="K12" s="24" t="n">
        <f aca="false">Assumptions!B36/12*Assumptions!B60</f>
        <v>500</v>
      </c>
      <c r="L12" s="24" t="n">
        <f aca="false">Assumptions!B36/12*Assumptions!B60</f>
        <v>500</v>
      </c>
      <c r="M12" s="24" t="n">
        <f aca="false">Assumptions!B36/12*Assumptions!B60</f>
        <v>500</v>
      </c>
      <c r="N12" s="24" t="n">
        <f aca="false">Assumptions!B36/12*Assumptions!B60</f>
        <v>500</v>
      </c>
      <c r="O12" s="24" t="n">
        <f aca="false">Assumptions!B36/12*Assumptions!B60</f>
        <v>500</v>
      </c>
      <c r="P12" s="24" t="n">
        <f aca="false">Assumptions!B36/12*Assumptions!B60</f>
        <v>500</v>
      </c>
      <c r="Q12" s="24" t="n">
        <f aca="false">Assumptions!B36/12*Assumptions!B60</f>
        <v>500</v>
      </c>
      <c r="R12" s="24" t="n">
        <f aca="false">Assumptions!B36/12*Assumptions!B60</f>
        <v>500</v>
      </c>
      <c r="S12" s="24" t="n">
        <f aca="false">Assumptions!B36/12*Assumptions!B60</f>
        <v>500</v>
      </c>
      <c r="T12" s="24" t="n">
        <f aca="false">Assumptions!B36/12*Assumptions!B60</f>
        <v>500</v>
      </c>
      <c r="U12" s="24" t="n">
        <f aca="false">Assumptions!B36/12*Assumptions!B60</f>
        <v>500</v>
      </c>
      <c r="V12" s="24" t="n">
        <f aca="false">Assumptions!B36/12*Assumptions!B60</f>
        <v>500</v>
      </c>
      <c r="W12" s="24" t="n">
        <f aca="false">Assumptions!B36/12*Assumptions!B60</f>
        <v>500</v>
      </c>
      <c r="X12" s="24" t="n">
        <f aca="false">Assumptions!B36/12*Assumptions!B60</f>
        <v>500</v>
      </c>
      <c r="Y12" s="24" t="n">
        <f aca="false">Assumptions!B36/12*Assumptions!B60</f>
        <v>500</v>
      </c>
      <c r="Z12" s="24" t="n">
        <f aca="false">Assumptions!B36/12*Assumptions!B60</f>
        <v>500</v>
      </c>
      <c r="AA12" s="24" t="n">
        <f aca="false">Assumptions!B36/12*Assumptions!B60</f>
        <v>500</v>
      </c>
      <c r="AB12" s="24" t="n">
        <f aca="false">Assumptions!B36/12*Assumptions!B60</f>
        <v>500</v>
      </c>
      <c r="AC12" s="24" t="n">
        <f aca="false">Assumptions!B36/12*Assumptions!B60</f>
        <v>500</v>
      </c>
      <c r="AD12" s="24" t="n">
        <f aca="false">Assumptions!B36/12*Assumptions!B60</f>
        <v>500</v>
      </c>
      <c r="AE12" s="24" t="n">
        <f aca="false">Assumptions!B36/12*Assumptions!B60</f>
        <v>500</v>
      </c>
      <c r="AF12" s="24" t="n">
        <f aca="false">Assumptions!B36/12*Assumptions!B60</f>
        <v>500</v>
      </c>
      <c r="AG12" s="24" t="n">
        <f aca="false">Assumptions!B36/12*Assumptions!B60</f>
        <v>500</v>
      </c>
      <c r="AH12" s="24" t="n">
        <f aca="false">Assumptions!B36/12*Assumptions!B60</f>
        <v>500</v>
      </c>
      <c r="AI12" s="24" t="n">
        <f aca="false">Assumptions!B36/12*Assumptions!B60</f>
        <v>500</v>
      </c>
      <c r="AJ12" s="24" t="n">
        <f aca="false">Assumptions!B36/12*Assumptions!B60</f>
        <v>500</v>
      </c>
      <c r="AK12" s="24" t="n">
        <f aca="false">Assumptions!B36/12*Assumptions!B60</f>
        <v>500</v>
      </c>
      <c r="AL12" s="21" t="n">
        <f aca="false">SUM(B12:M12)</f>
        <v>6000</v>
      </c>
      <c r="AM12" s="21" t="n">
        <f aca="false">SUM(N12:Y12)</f>
        <v>6000</v>
      </c>
      <c r="AN12" s="21" t="n">
        <f aca="false">SUM(Z12:AK12)</f>
        <v>6000</v>
      </c>
      <c r="AO12" s="21" t="n">
        <f aca="false">AL12+AM12+AN12</f>
        <v>18000</v>
      </c>
    </row>
    <row r="13" customFormat="false" ht="15" hidden="false" customHeight="true" outlineLevel="0" collapsed="false">
      <c r="A13" s="8" t="s">
        <v>184</v>
      </c>
      <c r="B13" s="24" t="n">
        <f aca="false">Assumptions!B37/12*Assumptions!B60</f>
        <v>416.666666666667</v>
      </c>
      <c r="C13" s="24" t="n">
        <f aca="false">Assumptions!B37/12*Assumptions!B60</f>
        <v>416.666666666667</v>
      </c>
      <c r="D13" s="24" t="n">
        <f aca="false">Assumptions!B37/12*Assumptions!B60</f>
        <v>416.666666666667</v>
      </c>
      <c r="E13" s="24" t="n">
        <f aca="false">Assumptions!B37/12*Assumptions!B60</f>
        <v>416.666666666667</v>
      </c>
      <c r="F13" s="24" t="n">
        <f aca="false">Assumptions!B37/12*Assumptions!B60</f>
        <v>416.666666666667</v>
      </c>
      <c r="G13" s="24" t="n">
        <f aca="false">Assumptions!B37/12*Assumptions!B60</f>
        <v>416.666666666667</v>
      </c>
      <c r="H13" s="24" t="n">
        <f aca="false">Assumptions!B37/12*Assumptions!B60</f>
        <v>416.666666666667</v>
      </c>
      <c r="I13" s="24" t="n">
        <f aca="false">Assumptions!B37/12*Assumptions!B60</f>
        <v>416.666666666667</v>
      </c>
      <c r="J13" s="24" t="n">
        <f aca="false">Assumptions!B37/12*Assumptions!B60</f>
        <v>416.666666666667</v>
      </c>
      <c r="K13" s="24" t="n">
        <f aca="false">Assumptions!B37/12*Assumptions!B60</f>
        <v>416.666666666667</v>
      </c>
      <c r="L13" s="24" t="n">
        <f aca="false">Assumptions!B37/12*Assumptions!B60</f>
        <v>416.666666666667</v>
      </c>
      <c r="M13" s="24" t="n">
        <f aca="false">Assumptions!B37/12*Assumptions!B60</f>
        <v>416.666666666667</v>
      </c>
      <c r="N13" s="24" t="n">
        <f aca="false">Assumptions!B38/12*Assumptions!B60</f>
        <v>2500</v>
      </c>
      <c r="O13" s="24" t="n">
        <f aca="false">Assumptions!B38/12*Assumptions!B60</f>
        <v>2500</v>
      </c>
      <c r="P13" s="24" t="n">
        <f aca="false">Assumptions!B38/12*Assumptions!B60</f>
        <v>2500</v>
      </c>
      <c r="Q13" s="24" t="n">
        <f aca="false">Assumptions!B38/12*Assumptions!B60</f>
        <v>2500</v>
      </c>
      <c r="R13" s="24" t="n">
        <f aca="false">Assumptions!B38/12*Assumptions!B60</f>
        <v>2500</v>
      </c>
      <c r="S13" s="24" t="n">
        <f aca="false">Assumptions!B38/12*Assumptions!B60</f>
        <v>2500</v>
      </c>
      <c r="T13" s="24" t="n">
        <f aca="false">Assumptions!B38/12*Assumptions!B60</f>
        <v>2500</v>
      </c>
      <c r="U13" s="24" t="n">
        <f aca="false">Assumptions!B38/12*Assumptions!B60</f>
        <v>2500</v>
      </c>
      <c r="V13" s="24" t="n">
        <f aca="false">Assumptions!B38/12*Assumptions!B60</f>
        <v>2500</v>
      </c>
      <c r="W13" s="24" t="n">
        <f aca="false">Assumptions!B38/12*Assumptions!B60</f>
        <v>2500</v>
      </c>
      <c r="X13" s="24" t="n">
        <f aca="false">Assumptions!B38/12*Assumptions!B60</f>
        <v>2500</v>
      </c>
      <c r="Y13" s="24" t="n">
        <f aca="false">Assumptions!B38/12*Assumptions!B60</f>
        <v>2500</v>
      </c>
      <c r="Z13" s="24" t="n">
        <f aca="false">Assumptions!B39/12*Assumptions!B60</f>
        <v>12500</v>
      </c>
      <c r="AA13" s="24" t="n">
        <f aca="false">Assumptions!B39/12*Assumptions!B60</f>
        <v>12500</v>
      </c>
      <c r="AB13" s="24" t="n">
        <f aca="false">Assumptions!B39/12*Assumptions!B60</f>
        <v>12500</v>
      </c>
      <c r="AC13" s="24" t="n">
        <f aca="false">Assumptions!B39/12*Assumptions!B60</f>
        <v>12500</v>
      </c>
      <c r="AD13" s="24" t="n">
        <f aca="false">Assumptions!B39/12*Assumptions!B60</f>
        <v>12500</v>
      </c>
      <c r="AE13" s="24" t="n">
        <f aca="false">Assumptions!B39/12*Assumptions!B60</f>
        <v>12500</v>
      </c>
      <c r="AF13" s="24" t="n">
        <f aca="false">Assumptions!B39/12*Assumptions!B60</f>
        <v>12500</v>
      </c>
      <c r="AG13" s="24" t="n">
        <f aca="false">Assumptions!B39/12*Assumptions!B60</f>
        <v>12500</v>
      </c>
      <c r="AH13" s="24" t="n">
        <f aca="false">Assumptions!B39/12*Assumptions!B60</f>
        <v>12500</v>
      </c>
      <c r="AI13" s="24" t="n">
        <f aca="false">Assumptions!B39/12*Assumptions!B60</f>
        <v>12500</v>
      </c>
      <c r="AJ13" s="24" t="n">
        <f aca="false">Assumptions!B39/12*Assumptions!B60</f>
        <v>12500</v>
      </c>
      <c r="AK13" s="24" t="n">
        <f aca="false">Assumptions!B39/12*Assumptions!B60</f>
        <v>12500</v>
      </c>
      <c r="AL13" s="21" t="n">
        <f aca="false">SUM(B13:M13)</f>
        <v>5000</v>
      </c>
      <c r="AM13" s="21" t="n">
        <f aca="false">SUM(N13:Y13)</f>
        <v>30000</v>
      </c>
      <c r="AN13" s="21" t="n">
        <f aca="false">SUM(Z13:AK13)</f>
        <v>150000</v>
      </c>
      <c r="AO13" s="21" t="n">
        <f aca="false">AL13+AM13+AN13</f>
        <v>185000</v>
      </c>
    </row>
    <row r="15" customFormat="false" ht="15" hidden="false" customHeight="true" outlineLevel="0" collapsed="false">
      <c r="A15" s="7" t="s">
        <v>185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customFormat="false" ht="15" hidden="false" customHeight="true" outlineLevel="0" collapsed="false">
      <c r="A16" s="8" t="s">
        <v>186</v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f aca="false">Assumptions!B40*Assumptions!B60</f>
        <v>8000</v>
      </c>
      <c r="O16" s="24" t="n">
        <f aca="false">Assumptions!B40*Assumptions!B60</f>
        <v>8000</v>
      </c>
      <c r="P16" s="24" t="n">
        <f aca="false">Assumptions!B40*Assumptions!B60</f>
        <v>8000</v>
      </c>
      <c r="Q16" s="24" t="n">
        <f aca="false">Assumptions!B40*Assumptions!B60</f>
        <v>8000</v>
      </c>
      <c r="R16" s="24" t="n">
        <f aca="false">Assumptions!B40*Assumptions!B60</f>
        <v>8000</v>
      </c>
      <c r="S16" s="24" t="n">
        <f aca="false">Assumptions!B40*Assumptions!B60</f>
        <v>8000</v>
      </c>
      <c r="T16" s="24" t="n">
        <f aca="false">Assumptions!B40*Assumptions!B60</f>
        <v>8000</v>
      </c>
      <c r="U16" s="24" t="n">
        <f aca="false">Assumptions!B40*Assumptions!B60</f>
        <v>8000</v>
      </c>
      <c r="V16" s="24" t="n">
        <f aca="false">Assumptions!B40*Assumptions!B60</f>
        <v>8000</v>
      </c>
      <c r="W16" s="24" t="n">
        <f aca="false">Assumptions!B40*Assumptions!B60</f>
        <v>8000</v>
      </c>
      <c r="X16" s="24" t="n">
        <f aca="false">Assumptions!B40*Assumptions!B60</f>
        <v>8000</v>
      </c>
      <c r="Y16" s="24" t="n">
        <f aca="false">Assumptions!B40*Assumptions!B60</f>
        <v>8000</v>
      </c>
      <c r="Z16" s="24" t="n">
        <f aca="false">Assumptions!B40*Assumptions!B60</f>
        <v>8000</v>
      </c>
      <c r="AA16" s="24" t="n">
        <f aca="false">Assumptions!B40*Assumptions!B60</f>
        <v>8000</v>
      </c>
      <c r="AB16" s="24" t="n">
        <f aca="false">Assumptions!B40*Assumptions!B60</f>
        <v>8000</v>
      </c>
      <c r="AC16" s="24" t="n">
        <f aca="false">Assumptions!B40*Assumptions!B60</f>
        <v>8000</v>
      </c>
      <c r="AD16" s="24" t="n">
        <f aca="false">Assumptions!B40*Assumptions!B60</f>
        <v>8000</v>
      </c>
      <c r="AE16" s="24" t="n">
        <f aca="false">Assumptions!B40*Assumptions!B60</f>
        <v>8000</v>
      </c>
      <c r="AF16" s="24" t="n">
        <f aca="false">Assumptions!B40*Assumptions!B60</f>
        <v>8000</v>
      </c>
      <c r="AG16" s="24" t="n">
        <f aca="false">Assumptions!B40*Assumptions!B60</f>
        <v>8000</v>
      </c>
      <c r="AH16" s="24" t="n">
        <f aca="false">Assumptions!B40*Assumptions!B60</f>
        <v>8000</v>
      </c>
      <c r="AI16" s="24" t="n">
        <f aca="false">Assumptions!B40*Assumptions!B60</f>
        <v>8000</v>
      </c>
      <c r="AJ16" s="24" t="n">
        <f aca="false">Assumptions!B40*Assumptions!B60</f>
        <v>8000</v>
      </c>
      <c r="AK16" s="24" t="n">
        <f aca="false">Assumptions!B40*Assumptions!B60</f>
        <v>8000</v>
      </c>
      <c r="AL16" s="21" t="n">
        <f aca="false">SUM(B16:M16)</f>
        <v>0</v>
      </c>
      <c r="AM16" s="21" t="n">
        <f aca="false">SUM(N16:Y16)</f>
        <v>96000</v>
      </c>
      <c r="AN16" s="21" t="n">
        <f aca="false">SUM(Z16:AK16)</f>
        <v>96000</v>
      </c>
      <c r="AO16" s="21" t="n">
        <f aca="false">AL16+AM16+AN16</f>
        <v>192000</v>
      </c>
    </row>
    <row r="17" customFormat="false" ht="15" hidden="false" customHeight="true" outlineLevel="0" collapsed="false">
      <c r="A17" s="8" t="s">
        <v>187</v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f aca="false">Assumptions!B41*Assumptions!B60</f>
        <v>4000</v>
      </c>
      <c r="Q17" s="24" t="n">
        <f aca="false">Assumptions!B41*Assumptions!B60</f>
        <v>4000</v>
      </c>
      <c r="R17" s="24" t="n">
        <f aca="false">Assumptions!B41*Assumptions!B60</f>
        <v>4000</v>
      </c>
      <c r="S17" s="24" t="n">
        <f aca="false">Assumptions!B41*Assumptions!B60</f>
        <v>4000</v>
      </c>
      <c r="T17" s="24" t="n">
        <f aca="false">Assumptions!B41*Assumptions!B60</f>
        <v>4000</v>
      </c>
      <c r="U17" s="24" t="n">
        <f aca="false">Assumptions!B41*Assumptions!B60</f>
        <v>4000</v>
      </c>
      <c r="V17" s="24" t="n">
        <f aca="false">Assumptions!B41*Assumptions!B60</f>
        <v>4000</v>
      </c>
      <c r="W17" s="24" t="n">
        <f aca="false">Assumptions!B41*Assumptions!B60</f>
        <v>4000</v>
      </c>
      <c r="X17" s="24" t="n">
        <f aca="false">Assumptions!B41*Assumptions!B60</f>
        <v>4000</v>
      </c>
      <c r="Y17" s="24" t="n">
        <f aca="false">Assumptions!B41*Assumptions!B60</f>
        <v>4000</v>
      </c>
      <c r="Z17" s="24" t="n">
        <f aca="false">Assumptions!B41*Assumptions!B60</f>
        <v>4000</v>
      </c>
      <c r="AA17" s="24" t="n">
        <f aca="false">Assumptions!B41*Assumptions!B60</f>
        <v>4000</v>
      </c>
      <c r="AB17" s="24" t="n">
        <f aca="false">Assumptions!B41*Assumptions!B60</f>
        <v>4000</v>
      </c>
      <c r="AC17" s="24" t="n">
        <f aca="false">Assumptions!B41*Assumptions!B60</f>
        <v>4000</v>
      </c>
      <c r="AD17" s="24" t="n">
        <f aca="false">Assumptions!B41*Assumptions!B60</f>
        <v>4000</v>
      </c>
      <c r="AE17" s="24" t="n">
        <f aca="false">Assumptions!B41*Assumptions!B60</f>
        <v>4000</v>
      </c>
      <c r="AF17" s="24" t="n">
        <f aca="false">Assumptions!B41*Assumptions!B60</f>
        <v>4000</v>
      </c>
      <c r="AG17" s="24" t="n">
        <f aca="false">Assumptions!B41*Assumptions!B60</f>
        <v>4000</v>
      </c>
      <c r="AH17" s="24" t="n">
        <f aca="false">Assumptions!B41*Assumptions!B60</f>
        <v>4000</v>
      </c>
      <c r="AI17" s="24" t="n">
        <f aca="false">Assumptions!B41*Assumptions!B60</f>
        <v>4000</v>
      </c>
      <c r="AJ17" s="24" t="n">
        <f aca="false">Assumptions!B41*Assumptions!B60</f>
        <v>4000</v>
      </c>
      <c r="AK17" s="24" t="n">
        <f aca="false">Assumptions!B41*Assumptions!B60</f>
        <v>4000</v>
      </c>
      <c r="AL17" s="21" t="n">
        <f aca="false">SUM(B17:M17)</f>
        <v>0</v>
      </c>
      <c r="AM17" s="21" t="n">
        <f aca="false">SUM(N17:Y17)</f>
        <v>40000</v>
      </c>
      <c r="AN17" s="21" t="n">
        <f aca="false">SUM(Z17:AK17)</f>
        <v>48000</v>
      </c>
      <c r="AO17" s="21" t="n">
        <f aca="false">AL17+AM17+AN17</f>
        <v>88000</v>
      </c>
    </row>
    <row r="18" customFormat="false" ht="15" hidden="false" customHeight="true" outlineLevel="0" collapsed="false">
      <c r="A18" s="8" t="s">
        <v>188</v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f aca="false">Assumptions!B42*Assumptions!B60</f>
        <v>12500</v>
      </c>
      <c r="AA18" s="24" t="n">
        <f aca="false">Assumptions!B42*Assumptions!B60</f>
        <v>12500</v>
      </c>
      <c r="AB18" s="24" t="n">
        <f aca="false">Assumptions!B42*Assumptions!B60</f>
        <v>12500</v>
      </c>
      <c r="AC18" s="24" t="n">
        <f aca="false">Assumptions!B42*Assumptions!B60</f>
        <v>12500</v>
      </c>
      <c r="AD18" s="24" t="n">
        <f aca="false">Assumptions!B42*Assumptions!B60</f>
        <v>12500</v>
      </c>
      <c r="AE18" s="24" t="n">
        <f aca="false">Assumptions!B42*Assumptions!B60</f>
        <v>12500</v>
      </c>
      <c r="AF18" s="24" t="n">
        <f aca="false">Assumptions!B42*Assumptions!B60</f>
        <v>12500</v>
      </c>
      <c r="AG18" s="24" t="n">
        <f aca="false">Assumptions!B42*Assumptions!B60</f>
        <v>12500</v>
      </c>
      <c r="AH18" s="24" t="n">
        <f aca="false">Assumptions!B42*Assumptions!B60</f>
        <v>12500</v>
      </c>
      <c r="AI18" s="24" t="n">
        <f aca="false">Assumptions!B42*Assumptions!B60</f>
        <v>12500</v>
      </c>
      <c r="AJ18" s="24" t="n">
        <f aca="false">Assumptions!B42*Assumptions!B60</f>
        <v>12500</v>
      </c>
      <c r="AK18" s="24" t="n">
        <f aca="false">Assumptions!B42*Assumptions!B60</f>
        <v>12500</v>
      </c>
      <c r="AL18" s="21" t="n">
        <f aca="false">SUM(B18:M18)</f>
        <v>0</v>
      </c>
      <c r="AM18" s="21" t="n">
        <f aca="false">SUM(N18:Y18)</f>
        <v>0</v>
      </c>
      <c r="AN18" s="21" t="n">
        <f aca="false">SUM(Z18:AK18)</f>
        <v>150000</v>
      </c>
      <c r="AO18" s="21" t="n">
        <f aca="false">AL18+AM18+AN18</f>
        <v>150000</v>
      </c>
    </row>
    <row r="19" customFormat="false" ht="15" hidden="false" customHeight="true" outlineLevel="0" collapsed="false">
      <c r="A19" s="8" t="s">
        <v>189</v>
      </c>
      <c r="B19" s="24" t="n">
        <v>0</v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0</v>
      </c>
      <c r="AA19" s="24" t="n">
        <v>0</v>
      </c>
      <c r="AB19" s="24" t="n">
        <v>0</v>
      </c>
      <c r="AC19" s="24" t="n">
        <f aca="false">Assumptions!B43*Assumptions!B60</f>
        <v>10000</v>
      </c>
      <c r="AD19" s="24" t="n">
        <f aca="false">Assumptions!B43*Assumptions!B60</f>
        <v>10000</v>
      </c>
      <c r="AE19" s="24" t="n">
        <f aca="false">Assumptions!B43*Assumptions!B60</f>
        <v>10000</v>
      </c>
      <c r="AF19" s="24" t="n">
        <f aca="false">Assumptions!B43*Assumptions!B60</f>
        <v>10000</v>
      </c>
      <c r="AG19" s="24" t="n">
        <f aca="false">Assumptions!B43*Assumptions!B60</f>
        <v>10000</v>
      </c>
      <c r="AH19" s="24" t="n">
        <f aca="false">Assumptions!B43*Assumptions!B60</f>
        <v>10000</v>
      </c>
      <c r="AI19" s="24" t="n">
        <f aca="false">Assumptions!B43*Assumptions!B60</f>
        <v>10000</v>
      </c>
      <c r="AJ19" s="24" t="n">
        <f aca="false">Assumptions!B43*Assumptions!B60</f>
        <v>10000</v>
      </c>
      <c r="AK19" s="24" t="n">
        <f aca="false">Assumptions!B43*Assumptions!B60</f>
        <v>10000</v>
      </c>
      <c r="AL19" s="21" t="n">
        <f aca="false">SUM(B19:M19)</f>
        <v>0</v>
      </c>
      <c r="AM19" s="21" t="n">
        <f aca="false">SUM(N19:Y19)</f>
        <v>0</v>
      </c>
      <c r="AN19" s="21" t="n">
        <f aca="false">SUM(Z19:AK19)</f>
        <v>90000</v>
      </c>
      <c r="AO19" s="21" t="n">
        <f aca="false">AL19+AM19+AN19</f>
        <v>90000</v>
      </c>
    </row>
    <row r="20" customFormat="false" ht="15" hidden="false" customHeight="true" outlineLevel="0" collapsed="false">
      <c r="A20" s="8" t="s">
        <v>190</v>
      </c>
      <c r="B20" s="24" t="n">
        <v>0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24" t="n">
        <v>0</v>
      </c>
      <c r="AC20" s="24" t="n">
        <v>0</v>
      </c>
      <c r="AD20" s="24" t="n">
        <v>0</v>
      </c>
      <c r="AE20" s="24" t="n">
        <v>0</v>
      </c>
      <c r="AF20" s="24" t="n">
        <f aca="false">Assumptions!B44*Assumptions!B60</f>
        <v>8500</v>
      </c>
      <c r="AG20" s="24" t="n">
        <f aca="false">Assumptions!B44*Assumptions!B60</f>
        <v>8500</v>
      </c>
      <c r="AH20" s="24" t="n">
        <f aca="false">Assumptions!B44*Assumptions!B60</f>
        <v>8500</v>
      </c>
      <c r="AI20" s="24" t="n">
        <f aca="false">Assumptions!B44*Assumptions!B60</f>
        <v>8500</v>
      </c>
      <c r="AJ20" s="24" t="n">
        <f aca="false">Assumptions!B44*Assumptions!B60</f>
        <v>8500</v>
      </c>
      <c r="AK20" s="24" t="n">
        <f aca="false">Assumptions!B44*Assumptions!B60</f>
        <v>8500</v>
      </c>
      <c r="AL20" s="21" t="n">
        <f aca="false">SUM(B20:M20)</f>
        <v>0</v>
      </c>
      <c r="AM20" s="21" t="n">
        <f aca="false">SUM(N20:Y20)</f>
        <v>0</v>
      </c>
      <c r="AN20" s="21" t="n">
        <f aca="false">SUM(Z20:AK20)</f>
        <v>51000</v>
      </c>
      <c r="AO20" s="21" t="n">
        <f aca="false">AL20+AM20+AN20</f>
        <v>51000</v>
      </c>
    </row>
    <row r="21" customFormat="false" ht="15" hidden="false" customHeight="true" outlineLevel="0" collapsed="false">
      <c r="A21" s="8" t="s">
        <v>191</v>
      </c>
      <c r="B21" s="24" t="n">
        <f aca="false">Assumptions!B45/12*Assumptions!B60</f>
        <v>2916.66666666667</v>
      </c>
      <c r="C21" s="24" t="n">
        <f aca="false">Assumptions!B45/12*Assumptions!B60</f>
        <v>2916.66666666667</v>
      </c>
      <c r="D21" s="24" t="n">
        <f aca="false">Assumptions!B45/12*Assumptions!B60</f>
        <v>2916.66666666667</v>
      </c>
      <c r="E21" s="24" t="n">
        <f aca="false">Assumptions!B45/12*Assumptions!B60</f>
        <v>2916.66666666667</v>
      </c>
      <c r="F21" s="24" t="n">
        <f aca="false">Assumptions!B45/12*Assumptions!B60</f>
        <v>2916.66666666667</v>
      </c>
      <c r="G21" s="24" t="n">
        <f aca="false">Assumptions!B45/12*Assumptions!B60</f>
        <v>2916.66666666667</v>
      </c>
      <c r="H21" s="24" t="n">
        <f aca="false">Assumptions!B45/12*Assumptions!B60</f>
        <v>2916.66666666667</v>
      </c>
      <c r="I21" s="24" t="n">
        <f aca="false">Assumptions!B45/12*Assumptions!B60</f>
        <v>2916.66666666667</v>
      </c>
      <c r="J21" s="24" t="n">
        <f aca="false">Assumptions!B45/12*Assumptions!B60</f>
        <v>2916.66666666667</v>
      </c>
      <c r="K21" s="24" t="n">
        <f aca="false">Assumptions!B45/12*Assumptions!B60</f>
        <v>2916.66666666667</v>
      </c>
      <c r="L21" s="24" t="n">
        <f aca="false">Assumptions!B45/12*Assumptions!B60</f>
        <v>2916.66666666667</v>
      </c>
      <c r="M21" s="24" t="n">
        <f aca="false">Assumptions!B45/12*Assumptions!B60</f>
        <v>2916.66666666667</v>
      </c>
      <c r="N21" s="24" t="n">
        <f aca="false">Assumptions!B46/12*Assumptions!B60</f>
        <v>8333.33333333333</v>
      </c>
      <c r="O21" s="24" t="n">
        <f aca="false">Assumptions!B46/12*Assumptions!B60</f>
        <v>8333.33333333333</v>
      </c>
      <c r="P21" s="24" t="n">
        <f aca="false">Assumptions!B46/12*Assumptions!B60</f>
        <v>8333.33333333333</v>
      </c>
      <c r="Q21" s="24" t="n">
        <f aca="false">Assumptions!B46/12*Assumptions!B60</f>
        <v>8333.33333333333</v>
      </c>
      <c r="R21" s="24" t="n">
        <f aca="false">Assumptions!B46/12*Assumptions!B60</f>
        <v>8333.33333333333</v>
      </c>
      <c r="S21" s="24" t="n">
        <f aca="false">Assumptions!B46/12*Assumptions!B60</f>
        <v>8333.33333333333</v>
      </c>
      <c r="T21" s="24" t="n">
        <f aca="false">Assumptions!B46/12*Assumptions!B60</f>
        <v>8333.33333333333</v>
      </c>
      <c r="U21" s="24" t="n">
        <f aca="false">Assumptions!B46/12*Assumptions!B60</f>
        <v>8333.33333333333</v>
      </c>
      <c r="V21" s="24" t="n">
        <f aca="false">Assumptions!B46/12*Assumptions!B60</f>
        <v>8333.33333333333</v>
      </c>
      <c r="W21" s="24" t="n">
        <f aca="false">Assumptions!B46/12*Assumptions!B60</f>
        <v>8333.33333333333</v>
      </c>
      <c r="X21" s="24" t="n">
        <f aca="false">Assumptions!B46/12*Assumptions!B60</f>
        <v>8333.33333333333</v>
      </c>
      <c r="Y21" s="24" t="n">
        <f aca="false">Assumptions!B46/12*Assumptions!B60</f>
        <v>8333.33333333333</v>
      </c>
      <c r="Z21" s="24" t="n">
        <f aca="false">Assumptions!B47/12*Assumptions!B60</f>
        <v>16666.6666666667</v>
      </c>
      <c r="AA21" s="24" t="n">
        <f aca="false">Assumptions!B47/12*Assumptions!B60</f>
        <v>16666.6666666667</v>
      </c>
      <c r="AB21" s="24" t="n">
        <f aca="false">Assumptions!B47/12*Assumptions!B60</f>
        <v>16666.6666666667</v>
      </c>
      <c r="AC21" s="24" t="n">
        <f aca="false">Assumptions!B47/12*Assumptions!B60</f>
        <v>16666.6666666667</v>
      </c>
      <c r="AD21" s="24" t="n">
        <f aca="false">Assumptions!B47/12*Assumptions!B60</f>
        <v>16666.6666666667</v>
      </c>
      <c r="AE21" s="24" t="n">
        <f aca="false">Assumptions!B47/12*Assumptions!B60</f>
        <v>16666.6666666667</v>
      </c>
      <c r="AF21" s="24" t="n">
        <f aca="false">Assumptions!B47/12*Assumptions!B60</f>
        <v>16666.6666666667</v>
      </c>
      <c r="AG21" s="24" t="n">
        <f aca="false">Assumptions!B47/12*Assumptions!B60</f>
        <v>16666.6666666667</v>
      </c>
      <c r="AH21" s="24" t="n">
        <f aca="false">Assumptions!B47/12*Assumptions!B60</f>
        <v>16666.6666666667</v>
      </c>
      <c r="AI21" s="24" t="n">
        <f aca="false">Assumptions!B47/12*Assumptions!B60</f>
        <v>16666.6666666667</v>
      </c>
      <c r="AJ21" s="24" t="n">
        <f aca="false">Assumptions!B47/12*Assumptions!B60</f>
        <v>16666.6666666667</v>
      </c>
      <c r="AK21" s="24" t="n">
        <f aca="false">Assumptions!B47/12*Assumptions!B60</f>
        <v>16666.6666666667</v>
      </c>
      <c r="AL21" s="21" t="n">
        <f aca="false">SUM(B21:M21)</f>
        <v>35000</v>
      </c>
      <c r="AM21" s="21" t="n">
        <f aca="false">SUM(N21:Y21)</f>
        <v>100000</v>
      </c>
      <c r="AN21" s="21" t="n">
        <f aca="false">SUM(Z21:AK21)</f>
        <v>200000</v>
      </c>
      <c r="AO21" s="21" t="n">
        <f aca="false">AL21+AM21+AN21</f>
        <v>335000</v>
      </c>
    </row>
    <row r="23" customFormat="false" ht="15" hidden="false" customHeight="true" outlineLevel="0" collapsed="false">
      <c r="A23" s="22" t="s">
        <v>192</v>
      </c>
      <c r="B23" s="23" t="n">
        <f aca="false">SUM(B6:B21)</f>
        <v>5833.33333333333</v>
      </c>
      <c r="C23" s="23" t="n">
        <f aca="false">SUM(C6:C21)</f>
        <v>5833.33333333333</v>
      </c>
      <c r="D23" s="23" t="n">
        <f aca="false">SUM(D6:D21)</f>
        <v>5833.33333333333</v>
      </c>
      <c r="E23" s="23" t="n">
        <f aca="false">SUM(E6:E21)</f>
        <v>5833.33333333333</v>
      </c>
      <c r="F23" s="23" t="n">
        <f aca="false">SUM(F6:F21)</f>
        <v>5833.33333333333</v>
      </c>
      <c r="G23" s="23" t="n">
        <f aca="false">SUM(G6:G21)</f>
        <v>6183.33333333333</v>
      </c>
      <c r="H23" s="23" t="n">
        <f aca="false">SUM(H6:H21)</f>
        <v>6183.33333333333</v>
      </c>
      <c r="I23" s="23" t="n">
        <f aca="false">SUM(I6:I21)</f>
        <v>6183.33333333333</v>
      </c>
      <c r="J23" s="23" t="n">
        <f aca="false">SUM(J6:J21)</f>
        <v>6183.33333333333</v>
      </c>
      <c r="K23" s="23" t="n">
        <f aca="false">SUM(K6:K21)</f>
        <v>6183.33333333333</v>
      </c>
      <c r="L23" s="23" t="n">
        <f aca="false">SUM(L6:L21)</f>
        <v>6533.33333333333</v>
      </c>
      <c r="M23" s="23" t="n">
        <f aca="false">SUM(M6:M21)</f>
        <v>6533.33333333333</v>
      </c>
      <c r="N23" s="23" t="n">
        <f aca="false">SUM(N6:N21)</f>
        <v>22866.6666666667</v>
      </c>
      <c r="O23" s="23" t="n">
        <f aca="false">SUM(O6:O21)</f>
        <v>23216.6666666667</v>
      </c>
      <c r="P23" s="23" t="n">
        <f aca="false">SUM(P6:P21)</f>
        <v>27216.6666666667</v>
      </c>
      <c r="Q23" s="23" t="n">
        <f aca="false">SUM(Q6:Q21)</f>
        <v>27216.6666666667</v>
      </c>
      <c r="R23" s="23" t="n">
        <f aca="false">SUM(R6:R21)</f>
        <v>27566.6666666667</v>
      </c>
      <c r="S23" s="23" t="n">
        <f aca="false">SUM(S6:S21)</f>
        <v>27916.6666666667</v>
      </c>
      <c r="T23" s="23" t="n">
        <f aca="false">SUM(T6:T21)</f>
        <v>27916.6666666667</v>
      </c>
      <c r="U23" s="23" t="n">
        <f aca="false">SUM(U6:U21)</f>
        <v>28266.6666666667</v>
      </c>
      <c r="V23" s="23" t="n">
        <f aca="false">SUM(V6:V21)</f>
        <v>28266.6666666667</v>
      </c>
      <c r="W23" s="23" t="n">
        <f aca="false">SUM(W6:W21)</f>
        <v>28616.6666666667</v>
      </c>
      <c r="X23" s="23" t="n">
        <f aca="false">SUM(X6:X21)</f>
        <v>28966.6666666667</v>
      </c>
      <c r="Y23" s="23" t="n">
        <f aca="false">SUM(Y6:Y21)</f>
        <v>28966.6666666667</v>
      </c>
      <c r="Z23" s="23" t="n">
        <f aca="false">SUM(Z6:Z21)</f>
        <v>61400</v>
      </c>
      <c r="AA23" s="23" t="n">
        <f aca="false">SUM(AA6:AA21)</f>
        <v>61750</v>
      </c>
      <c r="AB23" s="23" t="n">
        <f aca="false">SUM(AB6:AB21)</f>
        <v>62100</v>
      </c>
      <c r="AC23" s="23" t="n">
        <f aca="false">SUM(AC6:AC21)</f>
        <v>72800</v>
      </c>
      <c r="AD23" s="23" t="n">
        <f aca="false">SUM(AD6:AD21)</f>
        <v>73150</v>
      </c>
      <c r="AE23" s="23" t="n">
        <f aca="false">SUM(AE6:AE21)</f>
        <v>73500</v>
      </c>
      <c r="AF23" s="23" t="n">
        <f aca="false">SUM(AF6:AF21)</f>
        <v>82350</v>
      </c>
      <c r="AG23" s="23" t="n">
        <f aca="false">SUM(AG6:AG21)</f>
        <v>82700</v>
      </c>
      <c r="AH23" s="23" t="n">
        <f aca="false">SUM(AH6:AH21)</f>
        <v>83050</v>
      </c>
      <c r="AI23" s="23" t="n">
        <f aca="false">SUM(AI6:AI21)</f>
        <v>83750</v>
      </c>
      <c r="AJ23" s="23" t="n">
        <f aca="false">SUM(AJ6:AJ21)</f>
        <v>84100</v>
      </c>
      <c r="AK23" s="23" t="n">
        <f aca="false">SUM(AK6:AK21)</f>
        <v>84100</v>
      </c>
      <c r="AL23" s="23" t="n">
        <f aca="false">SUM(B23:M23)</f>
        <v>73150</v>
      </c>
      <c r="AM23" s="23" t="n">
        <f aca="false">SUM(N23:Y23)</f>
        <v>327000</v>
      </c>
      <c r="AN23" s="23" t="n">
        <f aca="false">SUM(Z23:AK23)</f>
        <v>904750</v>
      </c>
      <c r="AO23" s="23" t="n">
        <f aca="false">AL23+AM23+AN23</f>
        <v>1304900</v>
      </c>
    </row>
  </sheetData>
  <mergeCells count="6">
    <mergeCell ref="B2:M2"/>
    <mergeCell ref="N2:Y2"/>
    <mergeCell ref="Z2:AK2"/>
    <mergeCell ref="A5:AO5"/>
    <mergeCell ref="A9:AO9"/>
    <mergeCell ref="A15:AO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1" min="2" style="1" width="11"/>
  </cols>
  <sheetData>
    <row r="1" customFormat="false" ht="17.25" hidden="false" customHeight="true" outlineLevel="0" collapsed="false">
      <c r="A1" s="2" t="s">
        <v>193</v>
      </c>
    </row>
    <row r="2" customFormat="false" ht="15" hidden="false" customHeight="true" outlineLevel="0" collapsed="false">
      <c r="B2" s="15" t="s">
        <v>118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 t="s">
        <v>119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 t="s">
        <v>120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2" t="s">
        <v>121</v>
      </c>
      <c r="AM2" s="12" t="s">
        <v>122</v>
      </c>
      <c r="AN2" s="12" t="s">
        <v>123</v>
      </c>
      <c r="AO2" s="12" t="s">
        <v>124</v>
      </c>
    </row>
    <row r="3" customFormat="false" ht="15" hidden="false" customHeight="true" outlineLevel="0" collapsed="false">
      <c r="A3" s="16" t="s">
        <v>125</v>
      </c>
      <c r="B3" s="12" t="s">
        <v>126</v>
      </c>
      <c r="C3" s="12" t="s">
        <v>127</v>
      </c>
      <c r="D3" s="12" t="s">
        <v>128</v>
      </c>
      <c r="E3" s="12" t="s">
        <v>129</v>
      </c>
      <c r="F3" s="12" t="s">
        <v>130</v>
      </c>
      <c r="G3" s="12" t="s">
        <v>131</v>
      </c>
      <c r="H3" s="12" t="s">
        <v>132</v>
      </c>
      <c r="I3" s="12" t="s">
        <v>133</v>
      </c>
      <c r="J3" s="12" t="s">
        <v>134</v>
      </c>
      <c r="K3" s="12" t="s">
        <v>135</v>
      </c>
      <c r="L3" s="12" t="s">
        <v>136</v>
      </c>
      <c r="M3" s="12" t="s">
        <v>137</v>
      </c>
      <c r="N3" s="12" t="s">
        <v>138</v>
      </c>
      <c r="O3" s="12" t="s">
        <v>139</v>
      </c>
      <c r="P3" s="12" t="s">
        <v>140</v>
      </c>
      <c r="Q3" s="12" t="s">
        <v>141</v>
      </c>
      <c r="R3" s="12" t="s">
        <v>142</v>
      </c>
      <c r="S3" s="12" t="s">
        <v>143</v>
      </c>
      <c r="T3" s="12" t="s">
        <v>144</v>
      </c>
      <c r="U3" s="12" t="s">
        <v>145</v>
      </c>
      <c r="V3" s="12" t="s">
        <v>146</v>
      </c>
      <c r="W3" s="12" t="s">
        <v>147</v>
      </c>
      <c r="X3" s="12" t="s">
        <v>148</v>
      </c>
      <c r="Y3" s="12" t="s">
        <v>149</v>
      </c>
      <c r="Z3" s="12" t="s">
        <v>150</v>
      </c>
      <c r="AA3" s="12" t="s">
        <v>151</v>
      </c>
      <c r="AB3" s="12" t="s">
        <v>152</v>
      </c>
      <c r="AC3" s="12" t="s">
        <v>153</v>
      </c>
      <c r="AD3" s="12" t="s">
        <v>154</v>
      </c>
      <c r="AE3" s="12" t="s">
        <v>155</v>
      </c>
      <c r="AF3" s="12" t="s">
        <v>156</v>
      </c>
      <c r="AG3" s="12" t="s">
        <v>157</v>
      </c>
      <c r="AH3" s="12" t="s">
        <v>158</v>
      </c>
      <c r="AI3" s="12" t="s">
        <v>159</v>
      </c>
      <c r="AJ3" s="12" t="s">
        <v>160</v>
      </c>
      <c r="AK3" s="12" t="s">
        <v>161</v>
      </c>
    </row>
    <row r="5" customFormat="false" ht="15" hidden="false" customHeight="true" outlineLevel="0" collapsed="false">
      <c r="A5" s="8" t="s">
        <v>194</v>
      </c>
      <c r="B5" s="24" t="n">
        <f aca="false">Revenue!B19</f>
        <v>12500</v>
      </c>
      <c r="C5" s="24" t="n">
        <f aca="false">Revenue!C19</f>
        <v>12500</v>
      </c>
      <c r="D5" s="24" t="n">
        <f aca="false">Revenue!D19</f>
        <v>12500</v>
      </c>
      <c r="E5" s="24" t="n">
        <f aca="false">Revenue!E19</f>
        <v>12500</v>
      </c>
      <c r="F5" s="24" t="n">
        <f aca="false">Revenue!F19</f>
        <v>12500</v>
      </c>
      <c r="G5" s="24" t="n">
        <f aca="false">Revenue!G19</f>
        <v>43750</v>
      </c>
      <c r="H5" s="24" t="n">
        <f aca="false">Revenue!H19</f>
        <v>13750</v>
      </c>
      <c r="I5" s="24" t="n">
        <f aca="false">Revenue!I19</f>
        <v>13750</v>
      </c>
      <c r="J5" s="24" t="n">
        <f aca="false">Revenue!J19</f>
        <v>13750</v>
      </c>
      <c r="K5" s="24" t="n">
        <f aca="false">Revenue!K19</f>
        <v>13750</v>
      </c>
      <c r="L5" s="24" t="n">
        <f aca="false">Revenue!L19</f>
        <v>45000</v>
      </c>
      <c r="M5" s="24" t="n">
        <f aca="false">Revenue!M19</f>
        <v>15000</v>
      </c>
      <c r="N5" s="24" t="n">
        <f aca="false">Revenue!N19</f>
        <v>20833.3333333333</v>
      </c>
      <c r="O5" s="24" t="n">
        <f aca="false">Revenue!O19</f>
        <v>52916.6666666667</v>
      </c>
      <c r="P5" s="24" t="n">
        <f aca="false">Revenue!P19</f>
        <v>22916.6666666667</v>
      </c>
      <c r="Q5" s="24" t="n">
        <f aca="false">Revenue!Q19</f>
        <v>22916.6666666667</v>
      </c>
      <c r="R5" s="24" t="n">
        <f aca="false">Revenue!R19</f>
        <v>55000</v>
      </c>
      <c r="S5" s="24" t="n">
        <f aca="false">Revenue!S19</f>
        <v>88333.3333333333</v>
      </c>
      <c r="T5" s="24" t="n">
        <f aca="false">Revenue!T19</f>
        <v>28333.3333333333</v>
      </c>
      <c r="U5" s="24" t="n">
        <f aca="false">Revenue!U19</f>
        <v>60416.6666666667</v>
      </c>
      <c r="V5" s="24" t="n">
        <f aca="false">Revenue!V19</f>
        <v>30416.6666666667</v>
      </c>
      <c r="W5" s="24" t="n">
        <f aca="false">Revenue!W19</f>
        <v>93750</v>
      </c>
      <c r="X5" s="24" t="n">
        <f aca="false">Revenue!X19</f>
        <v>65833.3333333333</v>
      </c>
      <c r="Y5" s="24" t="n">
        <f aca="false">Revenue!Y19</f>
        <v>35833.3333333333</v>
      </c>
      <c r="Z5" s="24" t="n">
        <f aca="false">Revenue!Z19</f>
        <v>111666.666666667</v>
      </c>
      <c r="AA5" s="24" t="n">
        <f aca="false">Revenue!AA19</f>
        <v>83750</v>
      </c>
      <c r="AB5" s="24" t="n">
        <f aca="false">Revenue!AB19</f>
        <v>117083.333333333</v>
      </c>
      <c r="AC5" s="24" t="n">
        <f aca="false">Revenue!AC19</f>
        <v>110000</v>
      </c>
      <c r="AD5" s="24" t="n">
        <f aca="false">Revenue!AD19</f>
        <v>143333.333333333</v>
      </c>
      <c r="AE5" s="24" t="n">
        <f aca="false">Revenue!AE19</f>
        <v>115416.666666667</v>
      </c>
      <c r="AF5" s="24" t="n">
        <f aca="false">Revenue!AF19</f>
        <v>148750</v>
      </c>
      <c r="AG5" s="24" t="n">
        <f aca="false">Revenue!AG19</f>
        <v>120833.333333333</v>
      </c>
      <c r="AH5" s="24" t="n">
        <f aca="false">Revenue!AH19</f>
        <v>154166.666666667</v>
      </c>
      <c r="AI5" s="24" t="n">
        <f aca="false">Revenue!AI19</f>
        <v>147083.333333333</v>
      </c>
      <c r="AJ5" s="24" t="n">
        <f aca="false">Revenue!AJ19</f>
        <v>180416.666666667</v>
      </c>
      <c r="AK5" s="24" t="n">
        <f aca="false">Revenue!AK19</f>
        <v>120416.666666667</v>
      </c>
      <c r="AL5" s="21" t="n">
        <f aca="false">SUM(B5:M5)</f>
        <v>221250</v>
      </c>
      <c r="AM5" s="21" t="n">
        <f aca="false">SUM(N5:Y5)</f>
        <v>577500</v>
      </c>
      <c r="AN5" s="21" t="n">
        <f aca="false">SUM(Z5:AK5)</f>
        <v>1552916.66666667</v>
      </c>
      <c r="AO5" s="21" t="n">
        <f aca="false">AL5+AM5+AN5</f>
        <v>2351666.66666667</v>
      </c>
    </row>
    <row r="6" customFormat="false" ht="15" hidden="false" customHeight="true" outlineLevel="0" collapsed="false">
      <c r="A6" s="8" t="s">
        <v>195</v>
      </c>
      <c r="B6" s="24" t="n">
        <f aca="false">Costs!B23</f>
        <v>5833.33333333333</v>
      </c>
      <c r="C6" s="24" t="n">
        <f aca="false">Costs!C23</f>
        <v>5833.33333333333</v>
      </c>
      <c r="D6" s="24" t="n">
        <f aca="false">Costs!D23</f>
        <v>5833.33333333333</v>
      </c>
      <c r="E6" s="24" t="n">
        <f aca="false">Costs!E23</f>
        <v>5833.33333333333</v>
      </c>
      <c r="F6" s="24" t="n">
        <f aca="false">Costs!F23</f>
        <v>5833.33333333333</v>
      </c>
      <c r="G6" s="24" t="n">
        <f aca="false">Costs!G23</f>
        <v>6183.33333333333</v>
      </c>
      <c r="H6" s="24" t="n">
        <f aca="false">Costs!H23</f>
        <v>6183.33333333333</v>
      </c>
      <c r="I6" s="24" t="n">
        <f aca="false">Costs!I23</f>
        <v>6183.33333333333</v>
      </c>
      <c r="J6" s="24" t="n">
        <f aca="false">Costs!J23</f>
        <v>6183.33333333333</v>
      </c>
      <c r="K6" s="24" t="n">
        <f aca="false">Costs!K23</f>
        <v>6183.33333333333</v>
      </c>
      <c r="L6" s="24" t="n">
        <f aca="false">Costs!L23</f>
        <v>6533.33333333333</v>
      </c>
      <c r="M6" s="24" t="n">
        <f aca="false">Costs!M23</f>
        <v>6533.33333333333</v>
      </c>
      <c r="N6" s="24" t="n">
        <f aca="false">Costs!N23</f>
        <v>22866.6666666667</v>
      </c>
      <c r="O6" s="24" t="n">
        <f aca="false">Costs!O23</f>
        <v>23216.6666666667</v>
      </c>
      <c r="P6" s="24" t="n">
        <f aca="false">Costs!P23</f>
        <v>27216.6666666667</v>
      </c>
      <c r="Q6" s="24" t="n">
        <f aca="false">Costs!Q23</f>
        <v>27216.6666666667</v>
      </c>
      <c r="R6" s="24" t="n">
        <f aca="false">Costs!R23</f>
        <v>27566.6666666667</v>
      </c>
      <c r="S6" s="24" t="n">
        <f aca="false">Costs!S23</f>
        <v>27916.6666666667</v>
      </c>
      <c r="T6" s="24" t="n">
        <f aca="false">Costs!T23</f>
        <v>27916.6666666667</v>
      </c>
      <c r="U6" s="24" t="n">
        <f aca="false">Costs!U23</f>
        <v>28266.6666666667</v>
      </c>
      <c r="V6" s="24" t="n">
        <f aca="false">Costs!V23</f>
        <v>28266.6666666667</v>
      </c>
      <c r="W6" s="24" t="n">
        <f aca="false">Costs!W23</f>
        <v>28616.6666666667</v>
      </c>
      <c r="X6" s="24" t="n">
        <f aca="false">Costs!X23</f>
        <v>28966.6666666667</v>
      </c>
      <c r="Y6" s="24" t="n">
        <f aca="false">Costs!Y23</f>
        <v>28966.6666666667</v>
      </c>
      <c r="Z6" s="24" t="n">
        <f aca="false">Costs!Z23</f>
        <v>61400</v>
      </c>
      <c r="AA6" s="24" t="n">
        <f aca="false">Costs!AA23</f>
        <v>61750</v>
      </c>
      <c r="AB6" s="24" t="n">
        <f aca="false">Costs!AB23</f>
        <v>62100</v>
      </c>
      <c r="AC6" s="24" t="n">
        <f aca="false">Costs!AC23</f>
        <v>72800</v>
      </c>
      <c r="AD6" s="24" t="n">
        <f aca="false">Costs!AD23</f>
        <v>73150</v>
      </c>
      <c r="AE6" s="24" t="n">
        <f aca="false">Costs!AE23</f>
        <v>73500</v>
      </c>
      <c r="AF6" s="24" t="n">
        <f aca="false">Costs!AF23</f>
        <v>82350</v>
      </c>
      <c r="AG6" s="24" t="n">
        <f aca="false">Costs!AG23</f>
        <v>82700</v>
      </c>
      <c r="AH6" s="24" t="n">
        <f aca="false">Costs!AH23</f>
        <v>83050</v>
      </c>
      <c r="AI6" s="24" t="n">
        <f aca="false">Costs!AI23</f>
        <v>83750</v>
      </c>
      <c r="AJ6" s="24" t="n">
        <f aca="false">Costs!AJ23</f>
        <v>84100</v>
      </c>
      <c r="AK6" s="24" t="n">
        <f aca="false">Costs!AK23</f>
        <v>84100</v>
      </c>
      <c r="AL6" s="21" t="n">
        <f aca="false">SUM(B6:M6)</f>
        <v>73150</v>
      </c>
      <c r="AM6" s="21" t="n">
        <f aca="false">SUM(N6:Y6)</f>
        <v>327000</v>
      </c>
      <c r="AN6" s="21" t="n">
        <f aca="false">SUM(Z6:AK6)</f>
        <v>904750</v>
      </c>
      <c r="AO6" s="21" t="n">
        <f aca="false">AL6+AM6+AN6</f>
        <v>1304900</v>
      </c>
    </row>
    <row r="7" customFormat="false" ht="15" hidden="false" customHeight="true" outlineLevel="0" collapsed="false">
      <c r="A7" s="22" t="s">
        <v>196</v>
      </c>
      <c r="B7" s="23" t="n">
        <f aca="false">B5-B6</f>
        <v>6666.66666666667</v>
      </c>
      <c r="C7" s="23" t="n">
        <f aca="false">C5-C6</f>
        <v>6666.66666666667</v>
      </c>
      <c r="D7" s="23" t="n">
        <f aca="false">D5-D6</f>
        <v>6666.66666666667</v>
      </c>
      <c r="E7" s="23" t="n">
        <f aca="false">E5-E6</f>
        <v>6666.66666666667</v>
      </c>
      <c r="F7" s="23" t="n">
        <f aca="false">F5-F6</f>
        <v>6666.66666666667</v>
      </c>
      <c r="G7" s="23" t="n">
        <f aca="false">G5-G6</f>
        <v>37566.6666666667</v>
      </c>
      <c r="H7" s="23" t="n">
        <f aca="false">H5-H6</f>
        <v>7566.66666666667</v>
      </c>
      <c r="I7" s="23" t="n">
        <f aca="false">I5-I6</f>
        <v>7566.66666666667</v>
      </c>
      <c r="J7" s="23" t="n">
        <f aca="false">J5-J6</f>
        <v>7566.66666666667</v>
      </c>
      <c r="K7" s="23" t="n">
        <f aca="false">K5-K6</f>
        <v>7566.66666666667</v>
      </c>
      <c r="L7" s="23" t="n">
        <f aca="false">L5-L6</f>
        <v>38466.6666666667</v>
      </c>
      <c r="M7" s="23" t="n">
        <f aca="false">M5-M6</f>
        <v>8466.66666666667</v>
      </c>
      <c r="N7" s="23" t="n">
        <f aca="false">N5-N6</f>
        <v>-2033.33333333333</v>
      </c>
      <c r="O7" s="23" t="n">
        <f aca="false">O5-O6</f>
        <v>29700</v>
      </c>
      <c r="P7" s="23" t="n">
        <f aca="false">P5-P6</f>
        <v>-4300</v>
      </c>
      <c r="Q7" s="23" t="n">
        <f aca="false">Q5-Q6</f>
        <v>-4300</v>
      </c>
      <c r="R7" s="23" t="n">
        <f aca="false">R5-R6</f>
        <v>27433.3333333333</v>
      </c>
      <c r="S7" s="23" t="n">
        <f aca="false">S5-S6</f>
        <v>60416.6666666667</v>
      </c>
      <c r="T7" s="23" t="n">
        <f aca="false">T5-T6</f>
        <v>416.666666666668</v>
      </c>
      <c r="U7" s="23" t="n">
        <f aca="false">U5-U6</f>
        <v>32150</v>
      </c>
      <c r="V7" s="23" t="n">
        <f aca="false">V5-V6</f>
        <v>2150</v>
      </c>
      <c r="W7" s="23" t="n">
        <f aca="false">W5-W6</f>
        <v>65133.3333333333</v>
      </c>
      <c r="X7" s="23" t="n">
        <f aca="false">X5-X6</f>
        <v>36866.6666666667</v>
      </c>
      <c r="Y7" s="23" t="n">
        <f aca="false">Y5-Y6</f>
        <v>6866.66666666667</v>
      </c>
      <c r="Z7" s="23" t="n">
        <f aca="false">Z5-Z6</f>
        <v>50266.6666666667</v>
      </c>
      <c r="AA7" s="23" t="n">
        <f aca="false">AA5-AA6</f>
        <v>22000</v>
      </c>
      <c r="AB7" s="23" t="n">
        <f aca="false">AB5-AB6</f>
        <v>54983.3333333333</v>
      </c>
      <c r="AC7" s="23" t="n">
        <f aca="false">AC5-AC6</f>
        <v>37200</v>
      </c>
      <c r="AD7" s="23" t="n">
        <f aca="false">AD5-AD6</f>
        <v>70183.3333333333</v>
      </c>
      <c r="AE7" s="23" t="n">
        <f aca="false">AE5-AE6</f>
        <v>41916.6666666667</v>
      </c>
      <c r="AF7" s="23" t="n">
        <f aca="false">AF5-AF6</f>
        <v>66400</v>
      </c>
      <c r="AG7" s="23" t="n">
        <f aca="false">AG5-AG6</f>
        <v>38133.3333333333</v>
      </c>
      <c r="AH7" s="23" t="n">
        <f aca="false">AH5-AH6</f>
        <v>71116.6666666667</v>
      </c>
      <c r="AI7" s="23" t="n">
        <f aca="false">AI5-AI6</f>
        <v>63333.3333333333</v>
      </c>
      <c r="AJ7" s="23" t="n">
        <f aca="false">AJ5-AJ6</f>
        <v>96316.6666666667</v>
      </c>
      <c r="AK7" s="23" t="n">
        <f aca="false">AK5-AK6</f>
        <v>36316.6666666667</v>
      </c>
      <c r="AL7" s="23" t="n">
        <f aca="false">SUM(B7:M7)</f>
        <v>148100</v>
      </c>
      <c r="AM7" s="23" t="n">
        <f aca="false">SUM(N7:Y7)</f>
        <v>250500</v>
      </c>
      <c r="AN7" s="23" t="n">
        <f aca="false">SUM(Z7:AK7)</f>
        <v>648166.666666667</v>
      </c>
      <c r="AO7" s="23" t="n">
        <f aca="false">AL7+AM7+AN7</f>
        <v>1046766.66666667</v>
      </c>
    </row>
    <row r="9" customFormat="false" ht="15" hidden="false" customHeight="true" outlineLevel="0" collapsed="false">
      <c r="A9" s="19" t="s">
        <v>197</v>
      </c>
      <c r="B9" s="25" t="n">
        <f aca="false">B7</f>
        <v>6666.66666666667</v>
      </c>
      <c r="C9" s="25" t="n">
        <f aca="false">B9+C7</f>
        <v>13333.3333333333</v>
      </c>
      <c r="D9" s="25" t="n">
        <f aca="false">C9+D7</f>
        <v>20000</v>
      </c>
      <c r="E9" s="25" t="n">
        <f aca="false">D9+E7</f>
        <v>26666.6666666667</v>
      </c>
      <c r="F9" s="25" t="n">
        <f aca="false">E9+F7</f>
        <v>33333.3333333333</v>
      </c>
      <c r="G9" s="25" t="n">
        <f aca="false">F9+G7</f>
        <v>70900</v>
      </c>
      <c r="H9" s="25" t="n">
        <f aca="false">G9+H7</f>
        <v>78466.6666666667</v>
      </c>
      <c r="I9" s="25" t="n">
        <f aca="false">H9+I7</f>
        <v>86033.3333333333</v>
      </c>
      <c r="J9" s="25" t="n">
        <f aca="false">I9+J7</f>
        <v>93600</v>
      </c>
      <c r="K9" s="25" t="n">
        <f aca="false">J9+K7</f>
        <v>101166.666666667</v>
      </c>
      <c r="L9" s="25" t="n">
        <f aca="false">K9+L7</f>
        <v>139633.333333333</v>
      </c>
      <c r="M9" s="25" t="n">
        <f aca="false">L9+M7</f>
        <v>148100</v>
      </c>
      <c r="N9" s="25" t="n">
        <f aca="false">M9+N7</f>
        <v>146066.666666667</v>
      </c>
      <c r="O9" s="25" t="n">
        <f aca="false">N9+O7</f>
        <v>175766.666666667</v>
      </c>
      <c r="P9" s="25" t="n">
        <f aca="false">O9+P7</f>
        <v>171466.666666667</v>
      </c>
      <c r="Q9" s="25" t="n">
        <f aca="false">P9+Q7</f>
        <v>167166.666666667</v>
      </c>
      <c r="R9" s="25" t="n">
        <f aca="false">Q9+R7</f>
        <v>194600</v>
      </c>
      <c r="S9" s="25" t="n">
        <f aca="false">R9+S7</f>
        <v>255016.666666667</v>
      </c>
      <c r="T9" s="25" t="n">
        <f aca="false">S9+T7</f>
        <v>255433.333333333</v>
      </c>
      <c r="U9" s="25" t="n">
        <f aca="false">T9+U7</f>
        <v>287583.333333333</v>
      </c>
      <c r="V9" s="25" t="n">
        <f aca="false">U9+V7</f>
        <v>289733.333333333</v>
      </c>
      <c r="W9" s="25" t="n">
        <f aca="false">V9+W7</f>
        <v>354866.666666667</v>
      </c>
      <c r="X9" s="25" t="n">
        <f aca="false">W9+X7</f>
        <v>391733.333333333</v>
      </c>
      <c r="Y9" s="25" t="n">
        <f aca="false">X9+Y7</f>
        <v>398600</v>
      </c>
      <c r="Z9" s="25" t="n">
        <f aca="false">Y9+Z7</f>
        <v>448866.666666667</v>
      </c>
      <c r="AA9" s="25" t="n">
        <f aca="false">Z9+AA7</f>
        <v>470866.666666667</v>
      </c>
      <c r="AB9" s="25" t="n">
        <f aca="false">AA9+AB7</f>
        <v>525850</v>
      </c>
      <c r="AC9" s="25" t="n">
        <f aca="false">AB9+AC7</f>
        <v>563050</v>
      </c>
      <c r="AD9" s="25" t="n">
        <f aca="false">AC9+AD7</f>
        <v>633233.333333333</v>
      </c>
      <c r="AE9" s="25" t="n">
        <f aca="false">AD9+AE7</f>
        <v>675150</v>
      </c>
      <c r="AF9" s="25" t="n">
        <f aca="false">AE9+AF7</f>
        <v>741550</v>
      </c>
      <c r="AG9" s="25" t="n">
        <f aca="false">AF9+AG7</f>
        <v>779683.333333333</v>
      </c>
      <c r="AH9" s="25" t="n">
        <f aca="false">AG9+AH7</f>
        <v>850800</v>
      </c>
      <c r="AI9" s="25" t="n">
        <f aca="false">AH9+AI7</f>
        <v>914133.333333333</v>
      </c>
      <c r="AJ9" s="25" t="n">
        <f aca="false">AI9+AJ7</f>
        <v>1010450</v>
      </c>
      <c r="AK9" s="25" t="n">
        <f aca="false">AJ9+AK7</f>
        <v>1046766.66666667</v>
      </c>
      <c r="AL9" s="25" t="n">
        <f aca="false">M9</f>
        <v>148100</v>
      </c>
      <c r="AM9" s="25" t="n">
        <f aca="false">Y9</f>
        <v>398600</v>
      </c>
      <c r="AN9" s="25" t="n">
        <f aca="false">AK9</f>
        <v>1046766.66666667</v>
      </c>
      <c r="AO9" s="25" t="n">
        <f aca="false">AK9</f>
        <v>1046766.66666667</v>
      </c>
    </row>
    <row r="11" customFormat="false" ht="15" hidden="false" customHeight="true" outlineLevel="0" collapsed="false">
      <c r="A11" s="8" t="s">
        <v>198</v>
      </c>
      <c r="B11" s="24" t="n">
        <f aca="false">Costs!B6+Costs!B7</f>
        <v>350</v>
      </c>
      <c r="C11" s="24" t="n">
        <f aca="false">Costs!C6+Costs!C7</f>
        <v>350</v>
      </c>
      <c r="D11" s="24" t="n">
        <f aca="false">Costs!D6+Costs!D7</f>
        <v>350</v>
      </c>
      <c r="E11" s="24" t="n">
        <f aca="false">Costs!E6+Costs!E7</f>
        <v>350</v>
      </c>
      <c r="F11" s="24" t="n">
        <f aca="false">Costs!F6+Costs!F7</f>
        <v>350</v>
      </c>
      <c r="G11" s="24" t="n">
        <f aca="false">Costs!G6+Costs!G7</f>
        <v>700</v>
      </c>
      <c r="H11" s="24" t="n">
        <f aca="false">Costs!H6+Costs!H7</f>
        <v>700</v>
      </c>
      <c r="I11" s="24" t="n">
        <f aca="false">Costs!I6+Costs!I7</f>
        <v>700</v>
      </c>
      <c r="J11" s="24" t="n">
        <f aca="false">Costs!J6+Costs!J7</f>
        <v>700</v>
      </c>
      <c r="K11" s="24" t="n">
        <f aca="false">Costs!K6+Costs!K7</f>
        <v>700</v>
      </c>
      <c r="L11" s="24" t="n">
        <f aca="false">Costs!L6+Costs!L7</f>
        <v>1050</v>
      </c>
      <c r="M11" s="24" t="n">
        <f aca="false">Costs!M6+Costs!M7</f>
        <v>1050</v>
      </c>
      <c r="N11" s="24" t="n">
        <f aca="false">Costs!N6+Costs!N7</f>
        <v>1050</v>
      </c>
      <c r="O11" s="24" t="n">
        <f aca="false">Costs!O6+Costs!O7</f>
        <v>1400</v>
      </c>
      <c r="P11" s="24" t="n">
        <f aca="false">Costs!P6+Costs!P7</f>
        <v>1400</v>
      </c>
      <c r="Q11" s="24" t="n">
        <f aca="false">Costs!Q6+Costs!Q7</f>
        <v>1400</v>
      </c>
      <c r="R11" s="24" t="n">
        <f aca="false">Costs!R6+Costs!R7</f>
        <v>1750</v>
      </c>
      <c r="S11" s="24" t="n">
        <f aca="false">Costs!S6+Costs!S7</f>
        <v>2100</v>
      </c>
      <c r="T11" s="24" t="n">
        <f aca="false">Costs!T6+Costs!T7</f>
        <v>2100</v>
      </c>
      <c r="U11" s="24" t="n">
        <f aca="false">Costs!U6+Costs!U7</f>
        <v>2450</v>
      </c>
      <c r="V11" s="24" t="n">
        <f aca="false">Costs!V6+Costs!V7</f>
        <v>2450</v>
      </c>
      <c r="W11" s="24" t="n">
        <f aca="false">Costs!W6+Costs!W7</f>
        <v>2800</v>
      </c>
      <c r="X11" s="24" t="n">
        <f aca="false">Costs!X6+Costs!X7</f>
        <v>3150</v>
      </c>
      <c r="Y11" s="24" t="n">
        <f aca="false">Costs!Y6+Costs!Y7</f>
        <v>3150</v>
      </c>
      <c r="Z11" s="24" t="n">
        <f aca="false">Costs!Z6+Costs!Z7</f>
        <v>3500</v>
      </c>
      <c r="AA11" s="24" t="n">
        <f aca="false">Costs!AA6+Costs!AA7</f>
        <v>3850</v>
      </c>
      <c r="AB11" s="24" t="n">
        <f aca="false">Costs!AB6+Costs!AB7</f>
        <v>4200</v>
      </c>
      <c r="AC11" s="24" t="n">
        <f aca="false">Costs!AC6+Costs!AC7</f>
        <v>4900</v>
      </c>
      <c r="AD11" s="24" t="n">
        <f aca="false">Costs!AD6+Costs!AD7</f>
        <v>5250</v>
      </c>
      <c r="AE11" s="24" t="n">
        <f aca="false">Costs!AE6+Costs!AE7</f>
        <v>5600</v>
      </c>
      <c r="AF11" s="24" t="n">
        <f aca="false">Costs!AF6+Costs!AF7</f>
        <v>5950</v>
      </c>
      <c r="AG11" s="24" t="n">
        <f aca="false">Costs!AG6+Costs!AG7</f>
        <v>6300</v>
      </c>
      <c r="AH11" s="24" t="n">
        <f aca="false">Costs!AH6+Costs!AH7</f>
        <v>6650</v>
      </c>
      <c r="AI11" s="24" t="n">
        <f aca="false">Costs!AI6+Costs!AI7</f>
        <v>7350</v>
      </c>
      <c r="AJ11" s="24" t="n">
        <f aca="false">Costs!AJ6+Costs!AJ7</f>
        <v>7700</v>
      </c>
      <c r="AK11" s="24" t="n">
        <f aca="false">Costs!AK6+Costs!AK7</f>
        <v>7700</v>
      </c>
      <c r="AL11" s="21" t="n">
        <f aca="false">SUM(B11:M11)</f>
        <v>7350</v>
      </c>
      <c r="AM11" s="21" t="n">
        <f aca="false">SUM(N11:Y11)</f>
        <v>25200</v>
      </c>
      <c r="AN11" s="21" t="n">
        <f aca="false">SUM(Z11:AK11)</f>
        <v>68950</v>
      </c>
      <c r="AO11" s="21" t="n">
        <f aca="false">AL11+AM11+AN11</f>
        <v>101500</v>
      </c>
    </row>
    <row r="12" customFormat="false" ht="15" hidden="false" customHeight="true" outlineLevel="0" collapsed="false">
      <c r="A12" s="8" t="s">
        <v>199</v>
      </c>
      <c r="B12" s="26" t="n">
        <f aca="false">IFERROR((B5-B11)/B5,0)</f>
        <v>0.972</v>
      </c>
      <c r="C12" s="26" t="n">
        <f aca="false">IFERROR((C5-C11)/C5,0)</f>
        <v>0.972</v>
      </c>
      <c r="D12" s="26" t="n">
        <f aca="false">IFERROR((D5-D11)/D5,0)</f>
        <v>0.972</v>
      </c>
      <c r="E12" s="26" t="n">
        <f aca="false">IFERROR((E5-E11)/E5,0)</f>
        <v>0.972</v>
      </c>
      <c r="F12" s="26" t="n">
        <f aca="false">IFERROR((F5-F11)/F5,0)</f>
        <v>0.972</v>
      </c>
      <c r="G12" s="26" t="n">
        <f aca="false">IFERROR((G5-G11)/G5,0)</f>
        <v>0.984</v>
      </c>
      <c r="H12" s="26" t="n">
        <f aca="false">IFERROR((H5-H11)/H5,0)</f>
        <v>0.949090909090909</v>
      </c>
      <c r="I12" s="26" t="n">
        <f aca="false">IFERROR((I5-I11)/I5,0)</f>
        <v>0.949090909090909</v>
      </c>
      <c r="J12" s="26" t="n">
        <f aca="false">IFERROR((J5-J11)/J5,0)</f>
        <v>0.949090909090909</v>
      </c>
      <c r="K12" s="26" t="n">
        <f aca="false">IFERROR((K5-K11)/K5,0)</f>
        <v>0.949090909090909</v>
      </c>
      <c r="L12" s="26" t="n">
        <f aca="false">IFERROR((L5-L11)/L5,0)</f>
        <v>0.976666666666667</v>
      </c>
      <c r="M12" s="26" t="n">
        <f aca="false">IFERROR((M5-M11)/M5,0)</f>
        <v>0.93</v>
      </c>
      <c r="N12" s="26" t="n">
        <f aca="false">IFERROR((N5-N11)/N5,0)</f>
        <v>0.9496</v>
      </c>
      <c r="O12" s="26" t="n">
        <f aca="false">IFERROR((O5-O11)/O5,0)</f>
        <v>0.973543307086614</v>
      </c>
      <c r="P12" s="26" t="n">
        <f aca="false">IFERROR((P5-P11)/P5,0)</f>
        <v>0.938909090909091</v>
      </c>
      <c r="Q12" s="26" t="n">
        <f aca="false">IFERROR((Q5-Q11)/Q5,0)</f>
        <v>0.938909090909091</v>
      </c>
      <c r="R12" s="26" t="n">
        <f aca="false">IFERROR((R5-R11)/R5,0)</f>
        <v>0.968181818181818</v>
      </c>
      <c r="S12" s="26" t="n">
        <f aca="false">IFERROR((S5-S11)/S5,0)</f>
        <v>0.97622641509434</v>
      </c>
      <c r="T12" s="26" t="n">
        <f aca="false">IFERROR((T5-T11)/T5,0)</f>
        <v>0.925882352941177</v>
      </c>
      <c r="U12" s="26" t="n">
        <f aca="false">IFERROR((U5-U11)/U5,0)</f>
        <v>0.959448275862069</v>
      </c>
      <c r="V12" s="26" t="n">
        <f aca="false">IFERROR((V5-V11)/V5,0)</f>
        <v>0.919452054794521</v>
      </c>
      <c r="W12" s="26" t="n">
        <f aca="false">IFERROR((W5-W11)/W5,0)</f>
        <v>0.970133333333333</v>
      </c>
      <c r="X12" s="26" t="n">
        <f aca="false">IFERROR((X5-X11)/X5,0)</f>
        <v>0.952151898734177</v>
      </c>
      <c r="Y12" s="26" t="n">
        <f aca="false">IFERROR((Y5-Y11)/Y5,0)</f>
        <v>0.912093023255814</v>
      </c>
      <c r="Z12" s="26" t="n">
        <f aca="false">IFERROR((Z5-Z11)/Z5,0)</f>
        <v>0.96865671641791</v>
      </c>
      <c r="AA12" s="26" t="n">
        <f aca="false">IFERROR((AA5-AA11)/AA5,0)</f>
        <v>0.954029850746269</v>
      </c>
      <c r="AB12" s="26" t="n">
        <f aca="false">IFERROR((AB5-AB11)/AB5,0)</f>
        <v>0.964128113879004</v>
      </c>
      <c r="AC12" s="26" t="n">
        <f aca="false">IFERROR((AC5-AC11)/AC5,0)</f>
        <v>0.955454545454545</v>
      </c>
      <c r="AD12" s="26" t="n">
        <f aca="false">IFERROR((AD5-AD11)/AD5,0)</f>
        <v>0.963372093023256</v>
      </c>
      <c r="AE12" s="26" t="n">
        <f aca="false">IFERROR((AE5-AE11)/AE5,0)</f>
        <v>0.951480144404332</v>
      </c>
      <c r="AF12" s="26" t="n">
        <f aca="false">IFERROR((AF5-AF11)/AF5,0)</f>
        <v>0.96</v>
      </c>
      <c r="AG12" s="26" t="n">
        <f aca="false">IFERROR((AG5-AG11)/AG5,0)</f>
        <v>0.947862068965517</v>
      </c>
      <c r="AH12" s="26" t="n">
        <f aca="false">IFERROR((AH5-AH11)/AH5,0)</f>
        <v>0.956864864864865</v>
      </c>
      <c r="AI12" s="26" t="n">
        <f aca="false">IFERROR((AI5-AI11)/AI5,0)</f>
        <v>0.950028328611898</v>
      </c>
      <c r="AJ12" s="26" t="n">
        <f aca="false">IFERROR((AJ5-AJ11)/AJ5,0)</f>
        <v>0.957321016166282</v>
      </c>
      <c r="AK12" s="26" t="n">
        <f aca="false">IFERROR((AK5-AK11)/AK5,0)</f>
        <v>0.936055363321799</v>
      </c>
      <c r="AL12" s="26" t="n">
        <f aca="false">IFERROR(AVERAGE(B12:M12),0)</f>
        <v>0.962252525252525</v>
      </c>
      <c r="AM12" s="26" t="n">
        <f aca="false">IFERROR(AVERAGE(N12:Y12),0)</f>
        <v>0.94871088842517</v>
      </c>
      <c r="AN12" s="26" t="n">
        <f aca="false">IFERROR(AVERAGE(Z12:AK12),0)</f>
        <v>0.955437758821306</v>
      </c>
      <c r="AO12" s="26" t="n">
        <f aca="false">AVERAGE(B12:AK12)</f>
        <v>0.955467057499667</v>
      </c>
    </row>
  </sheetData>
  <mergeCells count="3">
    <mergeCell ref="B2:M2"/>
    <mergeCell ref="N2:Y2"/>
    <mergeCell ref="Z2:A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200</v>
      </c>
    </row>
    <row r="3" customFormat="false" ht="15" hidden="false" customHeight="true" outlineLevel="0" collapsed="false">
      <c r="A3" s="12" t="s">
        <v>201</v>
      </c>
      <c r="B3" s="12" t="s">
        <v>202</v>
      </c>
      <c r="C3" s="12" t="s">
        <v>203</v>
      </c>
      <c r="D3" s="12" t="s">
        <v>204</v>
      </c>
    </row>
    <row r="4" customFormat="false" ht="15" hidden="false" customHeight="true" outlineLevel="0" collapsed="false">
      <c r="A4" s="8" t="s">
        <v>205</v>
      </c>
      <c r="B4" s="21" t="n">
        <f aca="false">Assumptions!B8+Assumptions!B7</f>
        <v>45000</v>
      </c>
      <c r="C4" s="21" t="n">
        <f aca="false">Assumptions!B10+Assumptions!B11</f>
        <v>100000</v>
      </c>
      <c r="D4" s="21" t="n">
        <f aca="false">Assumptions!B12</f>
        <v>250000</v>
      </c>
    </row>
    <row r="5" customFormat="false" ht="15" hidden="false" customHeight="true" outlineLevel="0" collapsed="false">
      <c r="A5" s="8" t="s">
        <v>206</v>
      </c>
      <c r="B5" s="21" t="n">
        <f aca="false">Assumptions!B9</f>
        <v>25000</v>
      </c>
      <c r="C5" s="21" t="n">
        <f aca="false">Assumptions!B10</f>
        <v>40000</v>
      </c>
      <c r="D5" s="21" t="n">
        <f aca="false">Assumptions!B12</f>
        <v>250000</v>
      </c>
    </row>
    <row r="6" customFormat="false" ht="15" hidden="false" customHeight="true" outlineLevel="0" collapsed="false">
      <c r="A6" s="8" t="s">
        <v>207</v>
      </c>
      <c r="B6" s="21" t="n">
        <f aca="false">Assumptions!B29*Assumptions!B30*12</f>
        <v>3600</v>
      </c>
      <c r="C6" s="21" t="n">
        <f aca="false">Assumptions!B29*Assumptions!B30*12*2</f>
        <v>7200</v>
      </c>
      <c r="D6" s="21" t="n">
        <f aca="false">Assumptions!B29*Assumptions!B30*12*4</f>
        <v>14400</v>
      </c>
    </row>
    <row r="7" customFormat="false" ht="15" hidden="false" customHeight="true" outlineLevel="0" collapsed="false">
      <c r="A7" s="8" t="s">
        <v>208</v>
      </c>
      <c r="B7" s="21" t="n">
        <f aca="false">Assumptions!B31*12</f>
        <v>600</v>
      </c>
      <c r="C7" s="21" t="n">
        <f aca="false">Assumptions!B31*12*2</f>
        <v>1200</v>
      </c>
      <c r="D7" s="21" t="n">
        <f aca="false">Assumptions!B31*12*4</f>
        <v>2400</v>
      </c>
    </row>
    <row r="8" customFormat="false" ht="15" hidden="false" customHeight="true" outlineLevel="0" collapsed="false">
      <c r="A8" s="8" t="s">
        <v>209</v>
      </c>
      <c r="B8" s="21" t="n">
        <f aca="false">B6+B7</f>
        <v>4200</v>
      </c>
      <c r="C8" s="21" t="n">
        <f aca="false">C6+C7</f>
        <v>8400</v>
      </c>
      <c r="D8" s="21" t="n">
        <f aca="false">D6+D7</f>
        <v>16800</v>
      </c>
    </row>
    <row r="9" customFormat="false" ht="15" hidden="false" customHeight="true" outlineLevel="0" collapsed="false">
      <c r="A9" s="8" t="s">
        <v>210</v>
      </c>
      <c r="B9" s="26" t="n">
        <f aca="false">(B5-B8)/B5</f>
        <v>0.832</v>
      </c>
      <c r="C9" s="26" t="n">
        <f aca="false">(C5-C8)/C5</f>
        <v>0.79</v>
      </c>
      <c r="D9" s="26" t="n">
        <f aca="false">(D5-D8)/D5</f>
        <v>0.9328</v>
      </c>
    </row>
    <row r="10" customFormat="false" ht="15" hidden="false" customHeight="true" outlineLevel="0" collapsed="false">
      <c r="A10" s="8" t="s">
        <v>211</v>
      </c>
      <c r="B10" s="9" t="n">
        <v>5000</v>
      </c>
      <c r="C10" s="9" t="n">
        <v>20000</v>
      </c>
      <c r="D10" s="9" t="n">
        <v>50000</v>
      </c>
    </row>
    <row r="11" customFormat="false" ht="15" hidden="false" customHeight="true" outlineLevel="0" collapsed="false">
      <c r="A11" s="8" t="s">
        <v>212</v>
      </c>
      <c r="B11" s="27" t="n">
        <f aca="false">B10/((B5/12)*B9)</f>
        <v>2.88461538461538</v>
      </c>
      <c r="C11" s="27" t="n">
        <f aca="false">C10/((C5/12)*C9)</f>
        <v>7.59493670886076</v>
      </c>
      <c r="D11" s="27" t="n">
        <f aca="false">D10/((D5/12)*D9)</f>
        <v>2.57289879931389</v>
      </c>
    </row>
    <row r="12" customFormat="false" ht="15" hidden="false" customHeight="true" outlineLevel="0" collapsed="false">
      <c r="A12" s="8" t="s">
        <v>213</v>
      </c>
      <c r="B12" s="28" t="n">
        <v>2.5</v>
      </c>
      <c r="C12" s="28" t="n">
        <v>4</v>
      </c>
      <c r="D12" s="28" t="n">
        <v>5</v>
      </c>
    </row>
    <row r="13" customFormat="false" ht="15" hidden="false" customHeight="true" outlineLevel="0" collapsed="false">
      <c r="A13" s="8" t="s">
        <v>214</v>
      </c>
      <c r="B13" s="26" t="n">
        <f aca="false">B5*B12*B9</f>
        <v>52000</v>
      </c>
      <c r="C13" s="26" t="n">
        <f aca="false">C5*C12*C9</f>
        <v>126400</v>
      </c>
      <c r="D13" s="26" t="n">
        <f aca="false">D5*D12*D9</f>
        <v>1166000</v>
      </c>
    </row>
    <row r="14" customFormat="false" ht="15" hidden="false" customHeight="true" outlineLevel="0" collapsed="false">
      <c r="A14" s="8" t="s">
        <v>215</v>
      </c>
      <c r="B14" s="29" t="n">
        <f aca="false">B13/B10</f>
        <v>10.4</v>
      </c>
      <c r="C14" s="29" t="n">
        <f aca="false">C13/C10</f>
        <v>6.32</v>
      </c>
      <c r="D14" s="29" t="n">
        <f aca="false">D13/D10</f>
        <v>23.32</v>
      </c>
    </row>
    <row r="16" customFormat="false" ht="15" hidden="false" customHeight="true" outlineLevel="0" collapsed="false">
      <c r="A16" s="4" t="s">
        <v>216</v>
      </c>
    </row>
    <row r="17" customFormat="false" ht="15" hidden="false" customHeight="true" outlineLevel="0" collapsed="false">
      <c r="A17" s="3" t="s">
        <v>217</v>
      </c>
    </row>
    <row r="18" customFormat="false" ht="15" hidden="false" customHeight="true" outlineLevel="0" collapsed="false">
      <c r="A18" s="3" t="s">
        <v>218</v>
      </c>
    </row>
    <row r="19" customFormat="false" ht="15" hidden="false" customHeight="true" outlineLevel="0" collapsed="false">
      <c r="A19" s="3" t="s">
        <v>219</v>
      </c>
    </row>
    <row r="20" customFormat="false" ht="15" hidden="false" customHeight="true" outlineLevel="0" collapsed="false">
      <c r="A20" s="3" t="s">
        <v>220</v>
      </c>
    </row>
    <row r="21" customFormat="false" ht="15" hidden="false" customHeight="true" outlineLevel="0" collapsed="false">
      <c r="A21" s="3" t="s">
        <v>221</v>
      </c>
    </row>
    <row r="22" customFormat="false" ht="15" hidden="false" customHeight="true" outlineLevel="0" collapsed="false">
      <c r="A22" s="3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223</v>
      </c>
    </row>
    <row r="2" customFormat="false" ht="15" hidden="false" customHeight="true" outlineLevel="0" collapsed="false">
      <c r="A2" s="3" t="s">
        <v>224</v>
      </c>
    </row>
    <row r="4" customFormat="false" ht="15" hidden="false" customHeight="true" outlineLevel="0" collapsed="false">
      <c r="A4" s="12" t="s">
        <v>201</v>
      </c>
      <c r="B4" s="12" t="s">
        <v>225</v>
      </c>
      <c r="C4" s="12" t="s">
        <v>226</v>
      </c>
      <c r="D4" s="12" t="s">
        <v>227</v>
      </c>
      <c r="E4" s="12" t="s">
        <v>228</v>
      </c>
    </row>
    <row r="5" customFormat="false" ht="15" hidden="false" customHeight="true" outlineLevel="0" collapsed="false">
      <c r="A5" s="8" t="s">
        <v>229</v>
      </c>
      <c r="B5" s="24" t="n">
        <f aca="false">Revenue!AL19</f>
        <v>221250</v>
      </c>
      <c r="C5" s="24" t="n">
        <f aca="false">Revenue!AM19</f>
        <v>577500</v>
      </c>
      <c r="D5" s="24" t="n">
        <f aca="false">Revenue!AN19</f>
        <v>1552916.66666667</v>
      </c>
      <c r="E5" s="24" t="n">
        <f aca="false">Revenue!AO19</f>
        <v>2351666.66666667</v>
      </c>
    </row>
    <row r="6" customFormat="false" ht="15" hidden="false" customHeight="true" outlineLevel="0" collapsed="false">
      <c r="A6" s="8" t="s">
        <v>195</v>
      </c>
      <c r="B6" s="24" t="n">
        <f aca="false">Costs!AL23</f>
        <v>73150</v>
      </c>
      <c r="C6" s="24" t="n">
        <f aca="false">Costs!AM23</f>
        <v>327000</v>
      </c>
      <c r="D6" s="24" t="n">
        <f aca="false">Costs!AN23</f>
        <v>904750</v>
      </c>
      <c r="E6" s="24" t="n">
        <f aca="false">Costs!AO23</f>
        <v>1304900</v>
      </c>
    </row>
    <row r="7" customFormat="false" ht="15" hidden="false" customHeight="true" outlineLevel="0" collapsed="false">
      <c r="A7" s="8" t="s">
        <v>196</v>
      </c>
      <c r="B7" s="24" t="n">
        <f aca="false">B5-B6</f>
        <v>148100</v>
      </c>
      <c r="C7" s="24" t="n">
        <f aca="false">C5-C6</f>
        <v>250500</v>
      </c>
      <c r="D7" s="24" t="n">
        <f aca="false">D5-D6</f>
        <v>648166.666666667</v>
      </c>
      <c r="E7" s="24" t="n">
        <f aca="false">E5-E6</f>
        <v>1046766.66666667</v>
      </c>
    </row>
    <row r="8" customFormat="false" ht="15" hidden="false" customHeight="true" outlineLevel="0" collapsed="false">
      <c r="A8" s="8" t="s">
        <v>230</v>
      </c>
      <c r="B8" s="30" t="n">
        <f aca="false">B7/B5</f>
        <v>0.669378531073446</v>
      </c>
      <c r="C8" s="30" t="n">
        <f aca="false">C7/C5</f>
        <v>0.433766233766234</v>
      </c>
      <c r="D8" s="30" t="n">
        <f aca="false">D7/D5</f>
        <v>0.417386638046686</v>
      </c>
      <c r="E8" s="30" t="n">
        <f aca="false">E7/E5</f>
        <v>0.445116938341602</v>
      </c>
    </row>
    <row r="9" customFormat="false" ht="15" hidden="false" customHeight="true" outlineLevel="0" collapsed="false">
      <c r="A9" s="8" t="s">
        <v>231</v>
      </c>
      <c r="B9" s="31" t="n">
        <f aca="false">Revenue!M10</f>
        <v>3</v>
      </c>
      <c r="C9" s="31" t="n">
        <f aca="false">Revenue!Y10</f>
        <v>9</v>
      </c>
      <c r="D9" s="31" t="n">
        <f aca="false">Revenue!AK10</f>
        <v>22</v>
      </c>
      <c r="E9" s="31" t="n">
        <f aca="false">D9</f>
        <v>22</v>
      </c>
    </row>
    <row r="10" customFormat="false" ht="15" hidden="false" customHeight="true" outlineLevel="0" collapsed="false">
      <c r="A10" s="8" t="s">
        <v>232</v>
      </c>
      <c r="B10" s="24" t="n">
        <f aca="false">Costs!AL6+Costs!AL7</f>
        <v>7350</v>
      </c>
      <c r="C10" s="24" t="n">
        <f aca="false">Costs!AM6+Costs!AM7</f>
        <v>25200</v>
      </c>
      <c r="D10" s="24" t="n">
        <f aca="false">Costs!AN6+Costs!AN7</f>
        <v>68950</v>
      </c>
      <c r="E10" s="24" t="n">
        <f aca="false">B10+C10+D10</f>
        <v>101500</v>
      </c>
    </row>
    <row r="11" customFormat="false" ht="15" hidden="false" customHeight="true" outlineLevel="0" collapsed="false">
      <c r="A11" s="8" t="s">
        <v>233</v>
      </c>
      <c r="B11" s="24" t="n">
        <f aca="false">Costs!AL13</f>
        <v>5000</v>
      </c>
      <c r="C11" s="24" t="n">
        <f aca="false">Costs!AM13</f>
        <v>30000</v>
      </c>
      <c r="D11" s="24" t="n">
        <f aca="false">Costs!AN13</f>
        <v>150000</v>
      </c>
      <c r="E11" s="24" t="n">
        <f aca="false">B11+C11+D11</f>
        <v>185000</v>
      </c>
    </row>
    <row r="12" customFormat="false" ht="15" hidden="false" customHeight="true" outlineLevel="0" collapsed="false">
      <c r="A12" s="8" t="s">
        <v>234</v>
      </c>
      <c r="B12" s="24" t="n">
        <f aca="false">Costs!AL16+Costs!AL17+Costs!AL18+Costs!AL19+Costs!AL20+Costs!AL21</f>
        <v>35000</v>
      </c>
      <c r="C12" s="24" t="n">
        <f aca="false">Costs!AM16+Costs!AM17+Costs!AM18+Costs!AM19+Costs!AM20+Costs!AM21</f>
        <v>236000</v>
      </c>
      <c r="D12" s="24" t="n">
        <f aca="false">Costs!AN16+Costs!AN17+Costs!AN18+Costs!AN19+Costs!AN20+Costs!AN21</f>
        <v>635000</v>
      </c>
      <c r="E12" s="24" t="n">
        <f aca="false">B12+C12+D12</f>
        <v>906000</v>
      </c>
    </row>
    <row r="13" customFormat="false" ht="15" hidden="false" customHeight="true" outlineLevel="0" collapsed="false">
      <c r="A13" s="8" t="s">
        <v>235</v>
      </c>
      <c r="B13" s="30" t="n">
        <f aca="false">'P&amp;L'!AL12</f>
        <v>0.962252525252525</v>
      </c>
      <c r="C13" s="30" t="n">
        <f aca="false">'P&amp;L'!AM12</f>
        <v>0.94871088842517</v>
      </c>
      <c r="D13" s="30" t="n">
        <f aca="false">'P&amp;L'!AN12</f>
        <v>0.955437758821306</v>
      </c>
      <c r="E13" s="30" t="n">
        <f aca="false">'P&amp;L'!AO12</f>
        <v>0.955467057499667</v>
      </c>
    </row>
    <row r="14" customFormat="false" ht="15" hidden="false" customHeight="true" outlineLevel="0" collapsed="false">
      <c r="A14" s="8" t="s">
        <v>236</v>
      </c>
      <c r="B14" s="24" t="n">
        <f aca="false">'P&amp;L'!AL9</f>
        <v>148100</v>
      </c>
      <c r="C14" s="24" t="n">
        <f aca="false">'P&amp;L'!AM9</f>
        <v>398600</v>
      </c>
      <c r="D14" s="24" t="n">
        <f aca="false">'P&amp;L'!AN9</f>
        <v>1046766.66666667</v>
      </c>
      <c r="E14" s="24" t="n">
        <f aca="false">'P&amp;L'!AO9</f>
        <v>1046766.66666667</v>
      </c>
    </row>
    <row r="17" customFormat="false" ht="15" hidden="false" customHeight="true" outlineLevel="0" collapsed="false">
      <c r="A17" s="4" t="s">
        <v>237</v>
      </c>
    </row>
    <row r="18" customFormat="false" ht="30" hidden="false" customHeight="true" outlineLevel="0" collapsed="false">
      <c r="A18" s="32" t="s">
        <v>238</v>
      </c>
      <c r="B18" s="32"/>
      <c r="C18" s="32"/>
      <c r="D18" s="32"/>
      <c r="E18" s="32"/>
    </row>
    <row r="19" customFormat="false" ht="30" hidden="false" customHeight="true" outlineLevel="0" collapsed="false">
      <c r="A19" s="32" t="s">
        <v>239</v>
      </c>
      <c r="B19" s="32"/>
      <c r="C19" s="32"/>
      <c r="D19" s="32"/>
      <c r="E19" s="32"/>
    </row>
    <row r="20" customFormat="false" ht="30" hidden="false" customHeight="true" outlineLevel="0" collapsed="false">
      <c r="A20" s="32" t="s">
        <v>240</v>
      </c>
      <c r="B20" s="32"/>
      <c r="C20" s="32"/>
      <c r="D20" s="32"/>
      <c r="E20" s="32"/>
    </row>
    <row r="21" customFormat="false" ht="30" hidden="false" customHeight="true" outlineLevel="0" collapsed="false">
      <c r="A21" s="32" t="s">
        <v>241</v>
      </c>
      <c r="B21" s="32"/>
      <c r="C21" s="32"/>
      <c r="D21" s="32"/>
      <c r="E21" s="32"/>
    </row>
  </sheetData>
  <mergeCells count="4"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8" min="2" style="1" width="14"/>
  </cols>
  <sheetData>
    <row r="1" customFormat="false" ht="17.25" hidden="false" customHeight="true" outlineLevel="0" collapsed="false">
      <c r="A1" s="2" t="s">
        <v>242</v>
      </c>
    </row>
    <row r="2" customFormat="false" ht="15" hidden="false" customHeight="true" outlineLevel="0" collapsed="false">
      <c r="A2" s="3" t="s">
        <v>243</v>
      </c>
    </row>
    <row r="4" customFormat="false" ht="15" hidden="false" customHeight="true" outlineLevel="0" collapsed="false">
      <c r="A4" s="4" t="s">
        <v>244</v>
      </c>
      <c r="B4" s="33" t="n">
        <v>5</v>
      </c>
      <c r="C4" s="33" t="n">
        <v>8</v>
      </c>
      <c r="D4" s="33" t="n">
        <v>10</v>
      </c>
      <c r="E4" s="33" t="n">
        <v>12</v>
      </c>
      <c r="F4" s="33" t="n">
        <v>15</v>
      </c>
      <c r="G4" s="33" t="n">
        <v>20</v>
      </c>
    </row>
    <row r="5" customFormat="false" ht="15" hidden="false" customHeight="true" outlineLevel="0" collapsed="false">
      <c r="A5" s="10" t="n">
        <v>3</v>
      </c>
      <c r="B5" s="21" t="n">
        <v>176000</v>
      </c>
      <c r="C5" s="21" t="n">
        <v>170600</v>
      </c>
      <c r="D5" s="21" t="n">
        <v>167000</v>
      </c>
      <c r="E5" s="21" t="n">
        <v>163400</v>
      </c>
      <c r="F5" s="21" t="n">
        <v>158000</v>
      </c>
      <c r="G5" s="21" t="n">
        <v>149000</v>
      </c>
    </row>
    <row r="6" customFormat="false" ht="15" hidden="false" customHeight="true" outlineLevel="0" collapsed="false">
      <c r="A6" s="10" t="n">
        <v>5</v>
      </c>
      <c r="B6" s="21" t="n">
        <v>262400</v>
      </c>
      <c r="C6" s="21" t="n">
        <v>254840</v>
      </c>
      <c r="D6" s="21" t="n">
        <v>249800</v>
      </c>
      <c r="E6" s="21" t="n">
        <v>244760</v>
      </c>
      <c r="F6" s="21" t="n">
        <v>237200</v>
      </c>
      <c r="G6" s="21" t="n">
        <v>224600</v>
      </c>
    </row>
    <row r="7" customFormat="false" ht="15" hidden="false" customHeight="true" outlineLevel="0" collapsed="false">
      <c r="A7" s="10" t="n">
        <v>7</v>
      </c>
      <c r="B7" s="21" t="n">
        <v>348800</v>
      </c>
      <c r="C7" s="21" t="n">
        <v>339080</v>
      </c>
      <c r="D7" s="21" t="n">
        <v>332600</v>
      </c>
      <c r="E7" s="21" t="n">
        <v>326120</v>
      </c>
      <c r="F7" s="21" t="n">
        <v>316400</v>
      </c>
      <c r="G7" s="21" t="n">
        <v>300200</v>
      </c>
    </row>
    <row r="8" customFormat="false" ht="15" hidden="false" customHeight="true" outlineLevel="0" collapsed="false">
      <c r="A8" s="10" t="n">
        <v>9</v>
      </c>
      <c r="B8" s="21" t="n">
        <v>435200</v>
      </c>
      <c r="C8" s="21" t="n">
        <v>423320</v>
      </c>
      <c r="D8" s="21" t="n">
        <v>415400</v>
      </c>
      <c r="E8" s="21" t="n">
        <v>407480</v>
      </c>
      <c r="F8" s="21" t="n">
        <v>395600</v>
      </c>
      <c r="G8" s="21" t="n">
        <v>375800</v>
      </c>
    </row>
    <row r="9" customFormat="false" ht="15" hidden="false" customHeight="true" outlineLevel="0" collapsed="false">
      <c r="A9" s="10" t="n">
        <v>12</v>
      </c>
      <c r="B9" s="21" t="n">
        <v>564800</v>
      </c>
      <c r="C9" s="21" t="n">
        <v>549680</v>
      </c>
      <c r="D9" s="21" t="n">
        <v>539600</v>
      </c>
      <c r="E9" s="21" t="n">
        <v>529520</v>
      </c>
      <c r="F9" s="21" t="n">
        <v>514400</v>
      </c>
      <c r="G9" s="21" t="n">
        <v>489200</v>
      </c>
    </row>
    <row r="10" customFormat="false" ht="15" hidden="false" customHeight="true" outlineLevel="0" collapsed="false">
      <c r="A10" s="10" t="n">
        <v>15</v>
      </c>
      <c r="B10" s="21" t="n">
        <v>694400</v>
      </c>
      <c r="C10" s="21" t="n">
        <v>676040</v>
      </c>
      <c r="D10" s="21" t="n">
        <v>663800</v>
      </c>
      <c r="E10" s="21" t="n">
        <v>651560</v>
      </c>
      <c r="F10" s="21" t="n">
        <v>633200</v>
      </c>
      <c r="G10" s="21" t="n">
        <v>602600</v>
      </c>
    </row>
    <row r="14" customFormat="false" ht="15" hidden="false" customHeight="true" outlineLevel="0" collapsed="false">
      <c r="A14" s="4" t="s">
        <v>245</v>
      </c>
    </row>
    <row r="15" customFormat="false" ht="15" hidden="false" customHeight="true" outlineLevel="0" collapsed="false">
      <c r="A15" s="3" t="s">
        <v>246</v>
      </c>
    </row>
    <row r="16" customFormat="false" ht="15" hidden="false" customHeight="true" outlineLevel="0" collapsed="false">
      <c r="A16" s="3" t="s">
        <v>247</v>
      </c>
    </row>
    <row r="17" customFormat="false" ht="15" hidden="false" customHeight="true" outlineLevel="0" collapsed="false">
      <c r="A17" s="3" t="s">
        <v>248</v>
      </c>
    </row>
    <row r="18" customFormat="false" ht="15" hidden="false" customHeight="true" outlineLevel="0" collapsed="false">
      <c r="A18" s="3" t="s">
        <v>249</v>
      </c>
    </row>
    <row r="19" customFormat="false" ht="15" hidden="false" customHeight="true" outlineLevel="0" collapsed="false">
      <c r="A19" s="3" t="s">
        <v>250</v>
      </c>
    </row>
    <row r="20" customFormat="false" ht="15" hidden="false" customHeight="true" outlineLevel="0" collapsed="false">
      <c r="A20" s="3" t="s">
        <v>251</v>
      </c>
    </row>
  </sheetData>
  <conditionalFormatting sqref="B5:G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2026-05-15T07:56:40Z</dcterms:created>
  <dc:creator>openpyxl</dc:creator>
  <dc:description/>
  <dc:language>en-US</dc:language>
  <cp:lastModifiedBy/>
  <dcterms:modified xsi:type="dcterms:W3CDTF">2026-05-15T19:53:10Z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